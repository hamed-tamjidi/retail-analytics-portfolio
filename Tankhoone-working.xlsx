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Navid\Desktop\Project\"/>
    </mc:Choice>
  </mc:AlternateContent>
  <xr:revisionPtr revIDLastSave="0" documentId="13_ncr:1_{66ACCB11-B821-41AE-97F3-A48E4CD87165}" xr6:coauthVersionLast="47" xr6:coauthVersionMax="47" xr10:uidLastSave="{00000000-0000-0000-0000-000000000000}"/>
  <bookViews>
    <workbookView xWindow="40920" yWindow="-120" windowWidth="29040" windowHeight="15720" tabRatio="500" firstSheet="2" activeTab="3" xr2:uid="{00000000-000D-0000-FFFF-FFFF00000000}"/>
  </bookViews>
  <sheets>
    <sheet name="Sales summary" sheetId="6" r:id="rId1"/>
    <sheet name="Sales by Categories" sheetId="15" r:id="rId2"/>
    <sheet name="Sales by Channel" sheetId="16" r:id="rId3"/>
    <sheet name="Top 10 SKUs by Revenue" sheetId="17" r:id="rId4"/>
    <sheet name="Demand Analysis" sheetId="21" r:id="rId5"/>
    <sheet name="Inventory Analysis" sheetId="24" r:id="rId6"/>
    <sheet name="Financial Analysis" sheetId="26" r:id="rId7"/>
    <sheet name="Advanced Analysis" sheetId="27" r:id="rId8"/>
    <sheet name="Dashboard - Operations" sheetId="31" r:id="rId9"/>
    <sheet name="Dashboard - Performance" sheetId="29" r:id="rId10"/>
    <sheet name="CLEAN_Sales" sheetId="1" r:id="rId11"/>
    <sheet name=" CLEAN_Products" sheetId="2" r:id="rId12"/>
    <sheet name=" CLEAN_Inventory" sheetId="3" r:id="rId13"/>
    <sheet name="Notes" sheetId="4" r:id="rId14"/>
    <sheet name="Findings" sheetId="22" r:id="rId15"/>
    <sheet name=" Excel Skills Practiced table" sheetId="23" r:id="rId16"/>
  </sheets>
  <definedNames>
    <definedName name="_xlnm._FilterDatabase" localSheetId="7" hidden="1">'Advanced Analysis'!$A$9:$J$49</definedName>
    <definedName name="_xlnm._FilterDatabase" localSheetId="10" hidden="1">CLEAN_Sales!$A$1:$J$1190</definedName>
    <definedName name="_xlnm._FilterDatabase" localSheetId="4" hidden="1">'Demand Analysis'!$AM$3:$AO$14</definedName>
    <definedName name="_xlnm._FilterDatabase" localSheetId="5" hidden="1">'Inventory Analysis'!$A$1:$M$41</definedName>
  </definedNames>
  <calcPr calcId="191029" iterateDelta="1E-4"/>
  <pivotCaches>
    <pivotCache cacheId="25"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2" i="31" l="1"/>
  <c r="A10" i="27"/>
  <c r="G20" i="31" s="1"/>
  <c r="A17" i="31"/>
  <c r="A16" i="31"/>
  <c r="A15" i="31"/>
  <c r="A12" i="31"/>
  <c r="A14" i="31"/>
  <c r="A13" i="31"/>
  <c r="B3" i="31"/>
  <c r="B7" i="29"/>
  <c r="J7" i="29"/>
  <c r="F7" i="29"/>
  <c r="D7" i="29"/>
  <c r="B3" i="29"/>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A93" i="27" a="1"/>
  <c r="A93" i="27" s="1"/>
  <c r="A11" i="27"/>
  <c r="A12" i="27"/>
  <c r="G21" i="31" s="1"/>
  <c r="A13" i="27"/>
  <c r="A14" i="27"/>
  <c r="A15" i="27"/>
  <c r="A16" i="27"/>
  <c r="A17" i="27"/>
  <c r="A18" i="27"/>
  <c r="A19" i="27"/>
  <c r="A20" i="27"/>
  <c r="A21" i="27"/>
  <c r="A22" i="27"/>
  <c r="A23" i="27"/>
  <c r="A24" i="27"/>
  <c r="G23" i="31" s="1"/>
  <c r="A25" i="27"/>
  <c r="A26" i="27"/>
  <c r="A27" i="27"/>
  <c r="A28" i="27"/>
  <c r="A29" i="27"/>
  <c r="A30" i="27"/>
  <c r="A31" i="27"/>
  <c r="A32" i="27"/>
  <c r="A33" i="27"/>
  <c r="A34" i="27"/>
  <c r="A35" i="27"/>
  <c r="A36" i="27"/>
  <c r="A37" i="27"/>
  <c r="A38" i="27"/>
  <c r="A39" i="27"/>
  <c r="G24" i="31" s="1"/>
  <c r="A40" i="27"/>
  <c r="A41" i="27"/>
  <c r="A42" i="27"/>
  <c r="A43" i="27"/>
  <c r="A44" i="27"/>
  <c r="A45" i="27"/>
  <c r="A46" i="27"/>
  <c r="A47" i="27"/>
  <c r="G25" i="31" s="1"/>
  <c r="A48" i="27"/>
  <c r="A49" i="27"/>
  <c r="N3" i="26"/>
  <c r="N4" i="26"/>
  <c r="N5" i="26"/>
  <c r="N6" i="26"/>
  <c r="N7" i="26"/>
  <c r="N8" i="26"/>
  <c r="N9" i="26"/>
  <c r="N10" i="26"/>
  <c r="N11" i="26"/>
  <c r="N12" i="26"/>
  <c r="N13" i="26"/>
  <c r="N14" i="26"/>
  <c r="N15" i="26"/>
  <c r="N16" i="26"/>
  <c r="N17" i="26"/>
  <c r="N18" i="26"/>
  <c r="N19" i="26"/>
  <c r="N20" i="26"/>
  <c r="N21" i="26"/>
  <c r="N22" i="26"/>
  <c r="N23" i="26"/>
  <c r="N24" i="26"/>
  <c r="N25" i="26"/>
  <c r="N26" i="26"/>
  <c r="N27" i="26"/>
  <c r="N28" i="26"/>
  <c r="N29" i="26"/>
  <c r="N30" i="26"/>
  <c r="N31" i="26"/>
  <c r="N32" i="26"/>
  <c r="N33" i="26"/>
  <c r="N34" i="26"/>
  <c r="N35" i="26"/>
  <c r="N36" i="26"/>
  <c r="N37" i="26"/>
  <c r="N38" i="26"/>
  <c r="N39" i="26"/>
  <c r="N40" i="26"/>
  <c r="N41" i="26"/>
  <c r="N2" i="26"/>
  <c r="M3" i="26"/>
  <c r="O3" i="26" s="1"/>
  <c r="P3" i="26" s="1"/>
  <c r="M4" i="26"/>
  <c r="O4" i="26" s="1"/>
  <c r="P4" i="26" s="1"/>
  <c r="M5" i="26"/>
  <c r="O5" i="26" s="1"/>
  <c r="P5" i="26" s="1"/>
  <c r="M6" i="26"/>
  <c r="O6" i="26" s="1"/>
  <c r="P6" i="26" s="1"/>
  <c r="M7" i="26"/>
  <c r="O7" i="26" s="1"/>
  <c r="P7" i="26" s="1"/>
  <c r="M8" i="26"/>
  <c r="O8" i="26" s="1"/>
  <c r="P8" i="26" s="1"/>
  <c r="M9" i="26"/>
  <c r="O9" i="26" s="1"/>
  <c r="P9" i="26" s="1"/>
  <c r="M10" i="26"/>
  <c r="O10" i="26" s="1"/>
  <c r="P10" i="26" s="1"/>
  <c r="M11" i="26"/>
  <c r="O11" i="26" s="1"/>
  <c r="P11" i="26" s="1"/>
  <c r="M12" i="26"/>
  <c r="O12" i="26" s="1"/>
  <c r="P12" i="26" s="1"/>
  <c r="M13" i="26"/>
  <c r="O13" i="26" s="1"/>
  <c r="P13" i="26" s="1"/>
  <c r="M14" i="26"/>
  <c r="O14" i="26" s="1"/>
  <c r="P14" i="26" s="1"/>
  <c r="M15" i="26"/>
  <c r="O15" i="26" s="1"/>
  <c r="P15" i="26" s="1"/>
  <c r="M16" i="26"/>
  <c r="O16" i="26" s="1"/>
  <c r="P16" i="26" s="1"/>
  <c r="M17" i="26"/>
  <c r="O17" i="26" s="1"/>
  <c r="P17" i="26" s="1"/>
  <c r="M18" i="26"/>
  <c r="O18" i="26" s="1"/>
  <c r="P18" i="26" s="1"/>
  <c r="M19" i="26"/>
  <c r="O19" i="26" s="1"/>
  <c r="P19" i="26" s="1"/>
  <c r="M20" i="26"/>
  <c r="O20" i="26" s="1"/>
  <c r="P20" i="26" s="1"/>
  <c r="M21" i="26"/>
  <c r="O21" i="26" s="1"/>
  <c r="P21" i="26" s="1"/>
  <c r="M22" i="26"/>
  <c r="O22" i="26" s="1"/>
  <c r="P22" i="26" s="1"/>
  <c r="M23" i="26"/>
  <c r="O23" i="26" s="1"/>
  <c r="P23" i="26" s="1"/>
  <c r="M24" i="26"/>
  <c r="O24" i="26" s="1"/>
  <c r="P24" i="26" s="1"/>
  <c r="M25" i="26"/>
  <c r="O25" i="26" s="1"/>
  <c r="P25" i="26" s="1"/>
  <c r="M26" i="26"/>
  <c r="O26" i="26" s="1"/>
  <c r="P26" i="26" s="1"/>
  <c r="M27" i="26"/>
  <c r="O27" i="26" s="1"/>
  <c r="P27" i="26" s="1"/>
  <c r="M28" i="26"/>
  <c r="O28" i="26" s="1"/>
  <c r="P28" i="26" s="1"/>
  <c r="M29" i="26"/>
  <c r="O29" i="26" s="1"/>
  <c r="P29" i="26" s="1"/>
  <c r="M30" i="26"/>
  <c r="O30" i="26" s="1"/>
  <c r="P30" i="26" s="1"/>
  <c r="M31" i="26"/>
  <c r="O31" i="26" s="1"/>
  <c r="P31" i="26" s="1"/>
  <c r="M32" i="26"/>
  <c r="O32" i="26" s="1"/>
  <c r="P32" i="26" s="1"/>
  <c r="M33" i="26"/>
  <c r="O33" i="26" s="1"/>
  <c r="P33" i="26" s="1"/>
  <c r="M34" i="26"/>
  <c r="O34" i="26" s="1"/>
  <c r="P34" i="26" s="1"/>
  <c r="M35" i="26"/>
  <c r="O35" i="26" s="1"/>
  <c r="P35" i="26" s="1"/>
  <c r="M36" i="26"/>
  <c r="O36" i="26" s="1"/>
  <c r="P36" i="26" s="1"/>
  <c r="M37" i="26"/>
  <c r="O37" i="26" s="1"/>
  <c r="P37" i="26" s="1"/>
  <c r="M38" i="26"/>
  <c r="O38" i="26" s="1"/>
  <c r="P38" i="26" s="1"/>
  <c r="M39" i="26"/>
  <c r="O39" i="26" s="1"/>
  <c r="P39" i="26" s="1"/>
  <c r="M40" i="26"/>
  <c r="O40" i="26" s="1"/>
  <c r="P40" i="26" s="1"/>
  <c r="M41" i="26"/>
  <c r="O41" i="26" s="1"/>
  <c r="P41" i="26" s="1"/>
  <c r="M2" i="26"/>
  <c r="O2" i="26" s="1"/>
  <c r="P2" i="26" s="1"/>
  <c r="K3" i="1"/>
  <c r="K2" i="1"/>
  <c r="J25" i="26"/>
  <c r="K25" i="26" s="1"/>
  <c r="L25" i="26" s="1"/>
  <c r="J3" i="26"/>
  <c r="K3" i="26" s="1"/>
  <c r="L3" i="26" s="1"/>
  <c r="J4" i="26"/>
  <c r="K4" i="26" s="1"/>
  <c r="L4" i="26" s="1"/>
  <c r="J5" i="26"/>
  <c r="K5" i="26" s="1"/>
  <c r="L5" i="26" s="1"/>
  <c r="J6" i="26"/>
  <c r="K6" i="26" s="1"/>
  <c r="L6" i="26" s="1"/>
  <c r="J7" i="26"/>
  <c r="K7" i="26" s="1"/>
  <c r="L7" i="26" s="1"/>
  <c r="J8" i="26"/>
  <c r="K8" i="26" s="1"/>
  <c r="L8" i="26" s="1"/>
  <c r="J9" i="26"/>
  <c r="K9" i="26" s="1"/>
  <c r="L9" i="26" s="1"/>
  <c r="J10" i="26"/>
  <c r="K10" i="26" s="1"/>
  <c r="L10" i="26" s="1"/>
  <c r="J11" i="26"/>
  <c r="K11" i="26" s="1"/>
  <c r="L11" i="26" s="1"/>
  <c r="J12" i="26"/>
  <c r="K12" i="26" s="1"/>
  <c r="L12" i="26" s="1"/>
  <c r="J13" i="26"/>
  <c r="K13" i="26" s="1"/>
  <c r="L13" i="26" s="1"/>
  <c r="J14" i="26"/>
  <c r="K14" i="26" s="1"/>
  <c r="L14" i="26" s="1"/>
  <c r="J15" i="26"/>
  <c r="K15" i="26" s="1"/>
  <c r="L15" i="26" s="1"/>
  <c r="J16" i="26"/>
  <c r="K16" i="26" s="1"/>
  <c r="L16" i="26" s="1"/>
  <c r="J17" i="26"/>
  <c r="K17" i="26" s="1"/>
  <c r="L17" i="26" s="1"/>
  <c r="J18" i="26"/>
  <c r="K18" i="26" s="1"/>
  <c r="L18" i="26" s="1"/>
  <c r="J19" i="26"/>
  <c r="K19" i="26" s="1"/>
  <c r="L19" i="26" s="1"/>
  <c r="J20" i="26"/>
  <c r="K20" i="26" s="1"/>
  <c r="L20" i="26" s="1"/>
  <c r="J21" i="26"/>
  <c r="K21" i="26" s="1"/>
  <c r="L21" i="26" s="1"/>
  <c r="J22" i="26"/>
  <c r="K22" i="26" s="1"/>
  <c r="L22" i="26" s="1"/>
  <c r="J23" i="26"/>
  <c r="K23" i="26" s="1"/>
  <c r="L23" i="26" s="1"/>
  <c r="J24" i="26"/>
  <c r="K24" i="26" s="1"/>
  <c r="L24" i="26" s="1"/>
  <c r="J26" i="26"/>
  <c r="K26" i="26" s="1"/>
  <c r="L26" i="26" s="1"/>
  <c r="J27" i="26"/>
  <c r="K27" i="26" s="1"/>
  <c r="L27" i="26" s="1"/>
  <c r="J28" i="26"/>
  <c r="K28" i="26" s="1"/>
  <c r="L28" i="26" s="1"/>
  <c r="J29" i="26"/>
  <c r="K29" i="26" s="1"/>
  <c r="L29" i="26" s="1"/>
  <c r="J30" i="26"/>
  <c r="K30" i="26" s="1"/>
  <c r="L30" i="26" s="1"/>
  <c r="J31" i="26"/>
  <c r="K31" i="26" s="1"/>
  <c r="L31" i="26" s="1"/>
  <c r="J32" i="26"/>
  <c r="K32" i="26" s="1"/>
  <c r="L32" i="26" s="1"/>
  <c r="J33" i="26"/>
  <c r="K33" i="26" s="1"/>
  <c r="L33" i="26" s="1"/>
  <c r="J34" i="26"/>
  <c r="K34" i="26" s="1"/>
  <c r="L34" i="26" s="1"/>
  <c r="J35" i="26"/>
  <c r="K35" i="26" s="1"/>
  <c r="L35" i="26" s="1"/>
  <c r="J36" i="26"/>
  <c r="K36" i="26" s="1"/>
  <c r="L36" i="26" s="1"/>
  <c r="J37" i="26"/>
  <c r="K37" i="26" s="1"/>
  <c r="L37" i="26" s="1"/>
  <c r="J38" i="26"/>
  <c r="K38" i="26" s="1"/>
  <c r="L38" i="26" s="1"/>
  <c r="J39" i="26"/>
  <c r="K39" i="26" s="1"/>
  <c r="L39" i="26" s="1"/>
  <c r="J40" i="26"/>
  <c r="K40" i="26" s="1"/>
  <c r="L40" i="26" s="1"/>
  <c r="J41" i="26"/>
  <c r="K41" i="26" s="1"/>
  <c r="L41" i="26" s="1"/>
  <c r="J2" i="26"/>
  <c r="K2" i="26" s="1"/>
  <c r="L2" i="26" s="1"/>
  <c r="I3" i="26"/>
  <c r="I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2" i="26"/>
  <c r="H3" i="26"/>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2" i="26"/>
  <c r="G3" i="26"/>
  <c r="G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2" i="26"/>
  <c r="F3" i="2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2" i="26"/>
  <c r="E3" i="26"/>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2" i="26"/>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2" i="26"/>
  <c r="C3" i="26"/>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2" i="26"/>
  <c r="B2" i="24"/>
  <c r="B12" i="31" s="1"/>
  <c r="B3" i="24"/>
  <c r="B4" i="24"/>
  <c r="B13" i="31" s="1"/>
  <c r="B5" i="24"/>
  <c r="B6" i="24"/>
  <c r="B7" i="24"/>
  <c r="B8" i="24"/>
  <c r="B9" i="24"/>
  <c r="B10" i="24"/>
  <c r="B14" i="31" s="1"/>
  <c r="B11" i="24"/>
  <c r="B12" i="24"/>
  <c r="B13" i="24"/>
  <c r="B14" i="24"/>
  <c r="B15" i="24"/>
  <c r="B16" i="24"/>
  <c r="B15" i="31" s="1"/>
  <c r="B17" i="24"/>
  <c r="B18" i="24"/>
  <c r="B19" i="24"/>
  <c r="B20" i="24"/>
  <c r="B21" i="24"/>
  <c r="B22" i="24"/>
  <c r="B23" i="24"/>
  <c r="B24" i="24"/>
  <c r="B25" i="24"/>
  <c r="B26" i="24"/>
  <c r="B27" i="24"/>
  <c r="B28" i="24"/>
  <c r="B29" i="24"/>
  <c r="B30" i="24"/>
  <c r="B31" i="24"/>
  <c r="B16" i="31" s="1"/>
  <c r="B32" i="24"/>
  <c r="B33" i="24"/>
  <c r="B34" i="24"/>
  <c r="B35" i="24"/>
  <c r="B36" i="24"/>
  <c r="B37" i="24"/>
  <c r="B38" i="24"/>
  <c r="B39" i="24"/>
  <c r="B17" i="31" s="1"/>
  <c r="B40" i="24"/>
  <c r="B41" i="24"/>
  <c r="K3" i="24"/>
  <c r="K4" i="24"/>
  <c r="E13" i="31" s="1"/>
  <c r="K5" i="24"/>
  <c r="K6" i="24"/>
  <c r="K7" i="24"/>
  <c r="K8" i="24"/>
  <c r="K9" i="24"/>
  <c r="K10" i="24"/>
  <c r="E14" i="31" s="1"/>
  <c r="K11" i="24"/>
  <c r="K12" i="24"/>
  <c r="K13" i="24"/>
  <c r="K14" i="24"/>
  <c r="K15" i="24"/>
  <c r="K16" i="24"/>
  <c r="E15" i="31" s="1"/>
  <c r="K17" i="24"/>
  <c r="K18" i="24"/>
  <c r="K19" i="24"/>
  <c r="K20" i="24"/>
  <c r="K21" i="24"/>
  <c r="K22" i="24"/>
  <c r="K23" i="24"/>
  <c r="K24" i="24"/>
  <c r="K25" i="24"/>
  <c r="K26" i="24"/>
  <c r="K27" i="24"/>
  <c r="K28" i="24"/>
  <c r="K29" i="24"/>
  <c r="K30" i="24"/>
  <c r="K31" i="24"/>
  <c r="E16" i="31" s="1"/>
  <c r="K32" i="24"/>
  <c r="K33" i="24"/>
  <c r="K34" i="24"/>
  <c r="K35" i="24"/>
  <c r="K36" i="24"/>
  <c r="K37" i="24"/>
  <c r="K38" i="24"/>
  <c r="K39" i="24"/>
  <c r="E17" i="31" s="1"/>
  <c r="K40" i="24"/>
  <c r="K41" i="24"/>
  <c r="K2" i="24"/>
  <c r="J6" i="31" s="1"/>
  <c r="J3" i="24"/>
  <c r="E11" i="27" s="1"/>
  <c r="J2" i="24"/>
  <c r="C12" i="31" s="1"/>
  <c r="J6" i="24"/>
  <c r="E14" i="27" s="1"/>
  <c r="J4" i="24"/>
  <c r="E12" i="27" s="1"/>
  <c r="H21" i="31" s="1"/>
  <c r="J5" i="24"/>
  <c r="E13" i="27" s="1"/>
  <c r="J7" i="24"/>
  <c r="E15" i="27" s="1"/>
  <c r="J8" i="24"/>
  <c r="E16" i="27" s="1"/>
  <c r="J9" i="24"/>
  <c r="M9" i="24" s="1"/>
  <c r="J10" i="24"/>
  <c r="E18" i="27" s="1"/>
  <c r="H22" i="31" s="1"/>
  <c r="J11" i="24"/>
  <c r="E19" i="27" s="1"/>
  <c r="J12" i="24"/>
  <c r="E20" i="27" s="1"/>
  <c r="J13" i="24"/>
  <c r="E21" i="27" s="1"/>
  <c r="J14" i="24"/>
  <c r="E22" i="27" s="1"/>
  <c r="J15" i="24"/>
  <c r="E23" i="27" s="1"/>
  <c r="J16" i="24"/>
  <c r="C15" i="31" s="1"/>
  <c r="J17" i="24"/>
  <c r="E25" i="27" s="1"/>
  <c r="J18" i="24"/>
  <c r="E26" i="27" s="1"/>
  <c r="J19" i="24"/>
  <c r="E27" i="27" s="1"/>
  <c r="J20" i="24"/>
  <c r="E28" i="27" s="1"/>
  <c r="J21" i="24"/>
  <c r="E29" i="27" s="1"/>
  <c r="J22" i="24"/>
  <c r="E30" i="27" s="1"/>
  <c r="J23" i="24"/>
  <c r="E31" i="27" s="1"/>
  <c r="J24" i="24"/>
  <c r="E32" i="27" s="1"/>
  <c r="J25" i="24"/>
  <c r="E33" i="27" s="1"/>
  <c r="J26" i="24"/>
  <c r="E34" i="27" s="1"/>
  <c r="J27" i="24"/>
  <c r="E35" i="27" s="1"/>
  <c r="J28" i="24"/>
  <c r="E36" i="27" s="1"/>
  <c r="J29" i="24"/>
  <c r="E37" i="27" s="1"/>
  <c r="J30" i="24"/>
  <c r="E38" i="27" s="1"/>
  <c r="J31" i="24"/>
  <c r="C16" i="31" s="1"/>
  <c r="J32" i="24"/>
  <c r="E40" i="27" s="1"/>
  <c r="J33" i="24"/>
  <c r="E41" i="27" s="1"/>
  <c r="J34" i="24"/>
  <c r="M34" i="24" s="1"/>
  <c r="J35" i="24"/>
  <c r="E43" i="27" s="1"/>
  <c r="J36" i="24"/>
  <c r="E44" i="27" s="1"/>
  <c r="J37" i="24"/>
  <c r="E45" i="27" s="1"/>
  <c r="J38" i="24"/>
  <c r="E46" i="27" s="1"/>
  <c r="J39" i="24"/>
  <c r="C17" i="31" s="1"/>
  <c r="J40" i="24"/>
  <c r="E48" i="27" s="1"/>
  <c r="J41" i="24"/>
  <c r="E49" i="27" s="1"/>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2" i="24"/>
  <c r="AJ4" i="21"/>
  <c r="AK4" i="21" s="1"/>
  <c r="AJ5" i="21"/>
  <c r="AK5" i="21" s="1"/>
  <c r="AJ6" i="21"/>
  <c r="AK6" i="21" s="1"/>
  <c r="AJ7" i="21"/>
  <c r="AK7" i="21" s="1"/>
  <c r="AJ8" i="21"/>
  <c r="AK8" i="21" s="1"/>
  <c r="AJ9" i="21"/>
  <c r="AK9" i="21" s="1"/>
  <c r="AJ10" i="21"/>
  <c r="AK10" i="21" s="1"/>
  <c r="AJ11" i="21"/>
  <c r="AK11" i="21" s="1"/>
  <c r="AJ12" i="21"/>
  <c r="AK12" i="21" s="1"/>
  <c r="AJ13" i="21"/>
  <c r="AK13" i="21" s="1"/>
  <c r="AJ14" i="21"/>
  <c r="AK14" i="21" s="1"/>
  <c r="AJ15" i="21"/>
  <c r="AK15" i="21" s="1"/>
  <c r="AJ16" i="21"/>
  <c r="AK16" i="21" s="1"/>
  <c r="AJ17" i="21"/>
  <c r="AK17" i="21" s="1"/>
  <c r="AJ18" i="21"/>
  <c r="AK18" i="21" s="1"/>
  <c r="AJ19" i="21"/>
  <c r="AK19" i="21" s="1"/>
  <c r="AJ20" i="21"/>
  <c r="AK20" i="21" s="1"/>
  <c r="AJ21" i="21"/>
  <c r="AK21" i="21" s="1"/>
  <c r="AJ22" i="21"/>
  <c r="AK22" i="21" s="1"/>
  <c r="AJ23" i="21"/>
  <c r="AK23" i="21" s="1"/>
  <c r="AJ24" i="21"/>
  <c r="AK24" i="21" s="1"/>
  <c r="AJ25" i="21"/>
  <c r="AK25" i="21" s="1"/>
  <c r="AJ26" i="21"/>
  <c r="AK26" i="21" s="1"/>
  <c r="AJ27" i="21"/>
  <c r="AK27" i="21" s="1"/>
  <c r="AJ28" i="21"/>
  <c r="AK28" i="21" s="1"/>
  <c r="AJ29" i="21"/>
  <c r="AK29" i="21" s="1"/>
  <c r="AJ30" i="21"/>
  <c r="AK30" i="21" s="1"/>
  <c r="AJ31" i="21"/>
  <c r="AK31" i="21" s="1"/>
  <c r="AJ32" i="21"/>
  <c r="AK32" i="21" s="1"/>
  <c r="AJ33" i="21"/>
  <c r="AK33" i="21" s="1"/>
  <c r="AJ34" i="21"/>
  <c r="AK34" i="21" s="1"/>
  <c r="AJ35" i="21"/>
  <c r="AK35" i="21" s="1"/>
  <c r="AJ36" i="21"/>
  <c r="AK36" i="21" s="1"/>
  <c r="AJ37" i="21"/>
  <c r="AK37" i="21" s="1"/>
  <c r="AJ38" i="21"/>
  <c r="AK38" i="21" s="1"/>
  <c r="AJ39" i="21"/>
  <c r="AK39" i="21" s="1"/>
  <c r="AJ40" i="21"/>
  <c r="AK40" i="21" s="1"/>
  <c r="AJ41" i="21"/>
  <c r="AK41" i="21" s="1"/>
  <c r="AJ42" i="21"/>
  <c r="AK42" i="21" s="1"/>
  <c r="AJ43" i="21"/>
  <c r="AK43" i="21" s="1"/>
  <c r="AE17" i="21"/>
  <c r="D15" i="24" s="1"/>
  <c r="F15" i="24" s="1"/>
  <c r="B106" i="27" s="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F5" i="21"/>
  <c r="E3" i="24" s="1"/>
  <c r="H3" i="24" s="1"/>
  <c r="AF6" i="21"/>
  <c r="AF7" i="21"/>
  <c r="E5" i="24" s="1"/>
  <c r="H5" i="24" s="1"/>
  <c r="AF8" i="21"/>
  <c r="AF9" i="21"/>
  <c r="E7" i="24" s="1"/>
  <c r="H7" i="24" s="1"/>
  <c r="AF10" i="21"/>
  <c r="E8" i="24" s="1"/>
  <c r="H8" i="24" s="1"/>
  <c r="AF11" i="21"/>
  <c r="E9" i="24" s="1"/>
  <c r="H9" i="24" s="1"/>
  <c r="AF12" i="21"/>
  <c r="E10" i="24" s="1"/>
  <c r="H10" i="24" s="1"/>
  <c r="D14" i="31" s="1"/>
  <c r="AF13" i="21"/>
  <c r="E11" i="24" s="1"/>
  <c r="H11" i="24" s="1"/>
  <c r="AF14" i="21"/>
  <c r="AF15" i="21"/>
  <c r="E13" i="24" s="1"/>
  <c r="H13" i="24" s="1"/>
  <c r="AF16" i="21"/>
  <c r="AF17" i="21"/>
  <c r="AG17" i="21" s="1"/>
  <c r="AH17" i="21" s="1"/>
  <c r="AF18" i="21"/>
  <c r="E16" i="24" s="1"/>
  <c r="H16" i="24" s="1"/>
  <c r="D15" i="31" s="1"/>
  <c r="AF19" i="21"/>
  <c r="E17" i="24" s="1"/>
  <c r="H17" i="24" s="1"/>
  <c r="AF20" i="21"/>
  <c r="E18" i="24" s="1"/>
  <c r="H18" i="24" s="1"/>
  <c r="AF21" i="21"/>
  <c r="E19" i="24" s="1"/>
  <c r="H19" i="24" s="1"/>
  <c r="AF22" i="21"/>
  <c r="E20" i="24" s="1"/>
  <c r="H20" i="24" s="1"/>
  <c r="AF23" i="21"/>
  <c r="E21" i="24" s="1"/>
  <c r="H21" i="24" s="1"/>
  <c r="AF24" i="21"/>
  <c r="AF25" i="21"/>
  <c r="E23" i="24" s="1"/>
  <c r="H23" i="24" s="1"/>
  <c r="AF26" i="21"/>
  <c r="E24" i="24" s="1"/>
  <c r="H24" i="24" s="1"/>
  <c r="AF27" i="21"/>
  <c r="E25" i="24" s="1"/>
  <c r="H25" i="24" s="1"/>
  <c r="AF28" i="21"/>
  <c r="E26" i="24" s="1"/>
  <c r="H26" i="24" s="1"/>
  <c r="AF29" i="21"/>
  <c r="E27" i="24" s="1"/>
  <c r="H27" i="24" s="1"/>
  <c r="AF30" i="21"/>
  <c r="E28" i="24" s="1"/>
  <c r="H28" i="24" s="1"/>
  <c r="AF31" i="21"/>
  <c r="E29" i="24" s="1"/>
  <c r="H29" i="24" s="1"/>
  <c r="AF32" i="21"/>
  <c r="AF33" i="21"/>
  <c r="E31" i="24" s="1"/>
  <c r="H31" i="24" s="1"/>
  <c r="D16" i="31" s="1"/>
  <c r="AF34" i="21"/>
  <c r="E32" i="24" s="1"/>
  <c r="H32" i="24" s="1"/>
  <c r="AF35" i="21"/>
  <c r="E33" i="24" s="1"/>
  <c r="H33" i="24" s="1"/>
  <c r="AF36" i="21"/>
  <c r="E34" i="24" s="1"/>
  <c r="H34" i="24" s="1"/>
  <c r="AF37" i="21"/>
  <c r="E35" i="24" s="1"/>
  <c r="H35" i="24" s="1"/>
  <c r="AF38" i="21"/>
  <c r="E36" i="24" s="1"/>
  <c r="H36" i="24" s="1"/>
  <c r="AF39" i="21"/>
  <c r="E37" i="24" s="1"/>
  <c r="H37" i="24" s="1"/>
  <c r="AF40" i="21"/>
  <c r="E38" i="24" s="1"/>
  <c r="H38" i="24" s="1"/>
  <c r="AF41" i="21"/>
  <c r="E39" i="24" s="1"/>
  <c r="H39" i="24" s="1"/>
  <c r="D17" i="31" s="1"/>
  <c r="AF42" i="21"/>
  <c r="E40" i="24" s="1"/>
  <c r="H40" i="24" s="1"/>
  <c r="AF43" i="21"/>
  <c r="E41" i="24" s="1"/>
  <c r="H41" i="24" s="1"/>
  <c r="AE4" i="21"/>
  <c r="D2" i="24" s="1"/>
  <c r="F2" i="24" s="1"/>
  <c r="AF4" i="21"/>
  <c r="AE5" i="21"/>
  <c r="D3" i="24" s="1"/>
  <c r="F3" i="24" s="1"/>
  <c r="I3" i="24" s="1"/>
  <c r="AE6" i="21"/>
  <c r="D4" i="24" s="1"/>
  <c r="F4" i="24" s="1"/>
  <c r="B95" i="27" s="1"/>
  <c r="AE7" i="21"/>
  <c r="D5" i="24" s="1"/>
  <c r="F5" i="24" s="1"/>
  <c r="B13" i="27" s="1"/>
  <c r="AE8" i="21"/>
  <c r="D6" i="24" s="1"/>
  <c r="F6" i="24" s="1"/>
  <c r="B97" i="27" s="1"/>
  <c r="AE9" i="21"/>
  <c r="D7" i="24" s="1"/>
  <c r="F7" i="24" s="1"/>
  <c r="B15" i="27" s="1"/>
  <c r="AE10" i="21"/>
  <c r="D8" i="24" s="1"/>
  <c r="F8" i="24" s="1"/>
  <c r="B16" i="27" s="1"/>
  <c r="AE11" i="21"/>
  <c r="D9" i="24" s="1"/>
  <c r="F9" i="24" s="1"/>
  <c r="B17" i="27" s="1"/>
  <c r="AE12" i="21"/>
  <c r="D10" i="24" s="1"/>
  <c r="F10" i="24" s="1"/>
  <c r="B18" i="27" s="1"/>
  <c r="AE13" i="21"/>
  <c r="D11" i="24" s="1"/>
  <c r="F11" i="24" s="1"/>
  <c r="I11" i="24" s="1"/>
  <c r="AE14" i="21"/>
  <c r="D12" i="24" s="1"/>
  <c r="F12" i="24" s="1"/>
  <c r="B103" i="27" s="1"/>
  <c r="AE15" i="21"/>
  <c r="D13" i="24" s="1"/>
  <c r="F13" i="24" s="1"/>
  <c r="B21" i="27" s="1"/>
  <c r="AE16" i="21"/>
  <c r="D14" i="24" s="1"/>
  <c r="F14" i="24" s="1"/>
  <c r="B105" i="27" s="1"/>
  <c r="AE18" i="21"/>
  <c r="D16" i="24" s="1"/>
  <c r="F16" i="24" s="1"/>
  <c r="I16" i="24" s="1"/>
  <c r="AE19" i="21"/>
  <c r="D17" i="24" s="1"/>
  <c r="F17" i="24" s="1"/>
  <c r="I17" i="24" s="1"/>
  <c r="AE20" i="21"/>
  <c r="D18" i="24" s="1"/>
  <c r="F18" i="24" s="1"/>
  <c r="B76" i="27" s="1"/>
  <c r="B84" i="27" s="1"/>
  <c r="AE21" i="21"/>
  <c r="D19" i="24" s="1"/>
  <c r="F19" i="24" s="1"/>
  <c r="I19" i="24" s="1"/>
  <c r="AE22" i="21"/>
  <c r="D20" i="24" s="1"/>
  <c r="F20" i="24" s="1"/>
  <c r="AE23" i="21"/>
  <c r="D21" i="24" s="1"/>
  <c r="F21" i="24" s="1"/>
  <c r="B29" i="27" s="1"/>
  <c r="AE24" i="21"/>
  <c r="D22" i="24" s="1"/>
  <c r="F22" i="24" s="1"/>
  <c r="B113" i="27" s="1"/>
  <c r="AE25" i="21"/>
  <c r="D23" i="24" s="1"/>
  <c r="F23" i="24" s="1"/>
  <c r="I23" i="24" s="1"/>
  <c r="AE26" i="21"/>
  <c r="D24" i="24" s="1"/>
  <c r="F24" i="24" s="1"/>
  <c r="I24" i="24" s="1"/>
  <c r="AE27" i="21"/>
  <c r="D25" i="24" s="1"/>
  <c r="F25" i="24" s="1"/>
  <c r="I25" i="24" s="1"/>
  <c r="AE28" i="21"/>
  <c r="D26" i="24" s="1"/>
  <c r="F26" i="24" s="1"/>
  <c r="I26" i="24" s="1"/>
  <c r="AE29" i="21"/>
  <c r="D27" i="24" s="1"/>
  <c r="F27" i="24" s="1"/>
  <c r="B35" i="27" s="1"/>
  <c r="AE30" i="21"/>
  <c r="D28" i="24" s="1"/>
  <c r="F28" i="24" s="1"/>
  <c r="I28" i="24" s="1"/>
  <c r="AE31" i="21"/>
  <c r="D29" i="24" s="1"/>
  <c r="F29" i="24" s="1"/>
  <c r="B37" i="27" s="1"/>
  <c r="AE32" i="21"/>
  <c r="D30" i="24" s="1"/>
  <c r="F30" i="24" s="1"/>
  <c r="B121" i="27" s="1"/>
  <c r="AE33" i="21"/>
  <c r="D31" i="24" s="1"/>
  <c r="F31" i="24" s="1"/>
  <c r="I31" i="24" s="1"/>
  <c r="AE34" i="21"/>
  <c r="D32" i="24" s="1"/>
  <c r="F32" i="24" s="1"/>
  <c r="I32" i="24" s="1"/>
  <c r="AE35" i="21"/>
  <c r="D33" i="24" s="1"/>
  <c r="F33" i="24" s="1"/>
  <c r="I33" i="24" s="1"/>
  <c r="AE36" i="21"/>
  <c r="D34" i="24" s="1"/>
  <c r="F34" i="24" s="1"/>
  <c r="I34" i="24" s="1"/>
  <c r="AE37" i="21"/>
  <c r="D35" i="24" s="1"/>
  <c r="F35" i="24" s="1"/>
  <c r="I35" i="24" s="1"/>
  <c r="AE38" i="21"/>
  <c r="D36" i="24" s="1"/>
  <c r="F36" i="24" s="1"/>
  <c r="I36" i="24" s="1"/>
  <c r="AE39" i="21"/>
  <c r="D37" i="24" s="1"/>
  <c r="F37" i="24" s="1"/>
  <c r="B45" i="27" s="1"/>
  <c r="AE40" i="21"/>
  <c r="D38" i="24" s="1"/>
  <c r="F38" i="24" s="1"/>
  <c r="I38" i="24" s="1"/>
  <c r="AE41" i="21"/>
  <c r="D39" i="24" s="1"/>
  <c r="F39" i="24" s="1"/>
  <c r="I39" i="24" s="1"/>
  <c r="AE42" i="21"/>
  <c r="D40" i="24" s="1"/>
  <c r="F40" i="24" s="1"/>
  <c r="I40" i="24" s="1"/>
  <c r="AE43" i="21"/>
  <c r="D41" i="24" s="1"/>
  <c r="F41" i="24" s="1"/>
  <c r="I41" i="24" s="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H40" i="27" l="1"/>
  <c r="Q40" i="27"/>
  <c r="M40" i="27"/>
  <c r="I40" i="27"/>
  <c r="I28" i="27"/>
  <c r="Q28" i="27"/>
  <c r="P28" i="27"/>
  <c r="M28" i="27"/>
  <c r="H28" i="27"/>
  <c r="L28" i="27"/>
  <c r="E42" i="27"/>
  <c r="E17" i="27"/>
  <c r="P17" i="27" s="1"/>
  <c r="C13" i="31"/>
  <c r="E24" i="27"/>
  <c r="H23" i="31" s="1"/>
  <c r="E12" i="31"/>
  <c r="B78" i="27"/>
  <c r="C14" i="31"/>
  <c r="E47" i="27"/>
  <c r="H25" i="31" s="1"/>
  <c r="E39" i="27"/>
  <c r="H24" i="31" s="1"/>
  <c r="E10" i="27"/>
  <c r="H20" i="31" s="1"/>
  <c r="M42" i="27"/>
  <c r="Q42" i="27"/>
  <c r="I17" i="27"/>
  <c r="M17" i="27"/>
  <c r="L40" i="27"/>
  <c r="P40" i="27"/>
  <c r="L17" i="27"/>
  <c r="B85" i="27"/>
  <c r="B126" i="27"/>
  <c r="B118" i="27"/>
  <c r="B110" i="27"/>
  <c r="B102" i="27"/>
  <c r="B94" i="27"/>
  <c r="B125" i="27"/>
  <c r="B117" i="27"/>
  <c r="B109" i="27"/>
  <c r="B101" i="27"/>
  <c r="I20" i="24"/>
  <c r="B132" i="27"/>
  <c r="B124" i="27"/>
  <c r="B116" i="27"/>
  <c r="B108" i="27"/>
  <c r="B100" i="27"/>
  <c r="B77" i="27"/>
  <c r="B87" i="27" s="1"/>
  <c r="B131" i="27"/>
  <c r="B123" i="27"/>
  <c r="B115" i="27"/>
  <c r="B107" i="27"/>
  <c r="B99" i="27"/>
  <c r="B130" i="27"/>
  <c r="B122" i="27"/>
  <c r="B114" i="27"/>
  <c r="B98" i="27"/>
  <c r="B129" i="27"/>
  <c r="B128" i="27"/>
  <c r="B120" i="27"/>
  <c r="B112" i="27"/>
  <c r="B104" i="27"/>
  <c r="B96" i="27"/>
  <c r="B127" i="27"/>
  <c r="B119" i="27"/>
  <c r="B111" i="27"/>
  <c r="C93" i="27"/>
  <c r="F93" i="27" s="1"/>
  <c r="B93" i="27"/>
  <c r="I18" i="24"/>
  <c r="B59" i="27"/>
  <c r="B60" i="27"/>
  <c r="AG4" i="21"/>
  <c r="AH4" i="21" s="1"/>
  <c r="AG32" i="21"/>
  <c r="AH32" i="21" s="1"/>
  <c r="AG24" i="21"/>
  <c r="AH24" i="21" s="1"/>
  <c r="AG16" i="21"/>
  <c r="AH16" i="21" s="1"/>
  <c r="AG8" i="21"/>
  <c r="AH8" i="21" s="1"/>
  <c r="E15" i="24"/>
  <c r="H15" i="24" s="1"/>
  <c r="I15" i="24" s="1"/>
  <c r="M15" i="24" s="1"/>
  <c r="AG14" i="21"/>
  <c r="AH14" i="21" s="1"/>
  <c r="AG6" i="21"/>
  <c r="AH6" i="21" s="1"/>
  <c r="E30" i="24"/>
  <c r="H30" i="24" s="1"/>
  <c r="I30" i="24" s="1"/>
  <c r="M30" i="24" s="1"/>
  <c r="E22" i="24"/>
  <c r="H22" i="24" s="1"/>
  <c r="I22" i="24" s="1"/>
  <c r="M22" i="24" s="1"/>
  <c r="E14" i="24"/>
  <c r="H14" i="24" s="1"/>
  <c r="I14" i="24" s="1"/>
  <c r="M14" i="24" s="1"/>
  <c r="E6" i="24"/>
  <c r="H6" i="24" s="1"/>
  <c r="I6" i="24" s="1"/>
  <c r="M6" i="24" s="1"/>
  <c r="E12" i="24"/>
  <c r="H12" i="24" s="1"/>
  <c r="I12" i="24" s="1"/>
  <c r="M12" i="24" s="1"/>
  <c r="E4" i="24"/>
  <c r="H4" i="24" s="1"/>
  <c r="E2" i="24"/>
  <c r="H2" i="24" s="1"/>
  <c r="AG41" i="21"/>
  <c r="AH41" i="21" s="1"/>
  <c r="H16" i="27"/>
  <c r="L16" i="27"/>
  <c r="P16" i="27"/>
  <c r="L15" i="27"/>
  <c r="P15" i="27"/>
  <c r="H15" i="27"/>
  <c r="L45" i="27"/>
  <c r="P45" i="27"/>
  <c r="H45" i="27"/>
  <c r="L37" i="27"/>
  <c r="P37" i="27"/>
  <c r="H37" i="27"/>
  <c r="L29" i="27"/>
  <c r="P29" i="27"/>
  <c r="H29" i="27"/>
  <c r="L21" i="27"/>
  <c r="P21" i="27"/>
  <c r="H21" i="27"/>
  <c r="L13" i="27"/>
  <c r="H13" i="27"/>
  <c r="P13" i="27"/>
  <c r="H35" i="27"/>
  <c r="P35" i="27"/>
  <c r="L35" i="27"/>
  <c r="B10" i="27"/>
  <c r="H18" i="27"/>
  <c r="L18" i="27"/>
  <c r="P18" i="27"/>
  <c r="C42" i="27"/>
  <c r="J42" i="27" s="1"/>
  <c r="C34" i="27"/>
  <c r="D34" i="27" s="1"/>
  <c r="C26" i="27"/>
  <c r="J26" i="27" s="1"/>
  <c r="C18" i="27"/>
  <c r="J18" i="27" s="1"/>
  <c r="K18" i="27" s="1"/>
  <c r="M18" i="27" s="1"/>
  <c r="C47" i="27"/>
  <c r="N47" i="27" s="1"/>
  <c r="B42" i="27"/>
  <c r="C39" i="27"/>
  <c r="F39" i="27" s="1"/>
  <c r="B34" i="27"/>
  <c r="C31" i="27"/>
  <c r="F31" i="27" s="1"/>
  <c r="B26" i="27"/>
  <c r="C15" i="27"/>
  <c r="F15" i="27" s="1"/>
  <c r="G15" i="27" s="1"/>
  <c r="I15" i="27" s="1"/>
  <c r="B47" i="27"/>
  <c r="C44" i="27"/>
  <c r="F44" i="27" s="1"/>
  <c r="B39" i="27"/>
  <c r="C36" i="27"/>
  <c r="F36" i="27" s="1"/>
  <c r="B31" i="27"/>
  <c r="C28" i="27"/>
  <c r="F28" i="27" s="1"/>
  <c r="B23" i="27"/>
  <c r="C20" i="27"/>
  <c r="F20" i="27" s="1"/>
  <c r="C49" i="27"/>
  <c r="B44" i="27"/>
  <c r="C41" i="27"/>
  <c r="N41" i="27" s="1"/>
  <c r="B36" i="27"/>
  <c r="C33" i="27"/>
  <c r="B28" i="27"/>
  <c r="C25" i="27"/>
  <c r="B20" i="27"/>
  <c r="C17" i="27"/>
  <c r="B12" i="27"/>
  <c r="B49" i="27"/>
  <c r="C46" i="27"/>
  <c r="N46" i="27" s="1"/>
  <c r="B41" i="27"/>
  <c r="B33" i="27"/>
  <c r="B25" i="27"/>
  <c r="B46" i="27"/>
  <c r="C43" i="27"/>
  <c r="F43" i="27" s="1"/>
  <c r="B38" i="27"/>
  <c r="C35" i="27"/>
  <c r="F35" i="27" s="1"/>
  <c r="G35" i="27" s="1"/>
  <c r="I35" i="27" s="1"/>
  <c r="B30" i="27"/>
  <c r="C27" i="27"/>
  <c r="F27" i="27" s="1"/>
  <c r="B22" i="27"/>
  <c r="C19" i="27"/>
  <c r="F19" i="27" s="1"/>
  <c r="B14" i="27"/>
  <c r="C11" i="27"/>
  <c r="J11" i="27" s="1"/>
  <c r="C48" i="27"/>
  <c r="F48" i="27" s="1"/>
  <c r="B43" i="27"/>
  <c r="C40" i="27"/>
  <c r="F40" i="27" s="1"/>
  <c r="C32" i="27"/>
  <c r="F32" i="27" s="1"/>
  <c r="B27" i="27"/>
  <c r="C24" i="27"/>
  <c r="F24" i="27" s="1"/>
  <c r="B19" i="27"/>
  <c r="C16" i="27"/>
  <c r="F16" i="27" s="1"/>
  <c r="G16" i="27" s="1"/>
  <c r="I16" i="27" s="1"/>
  <c r="B11" i="27"/>
  <c r="B48" i="27"/>
  <c r="C45" i="27"/>
  <c r="D45" i="27" s="1"/>
  <c r="B40" i="27"/>
  <c r="C37" i="27"/>
  <c r="N37" i="27" s="1"/>
  <c r="O37" i="27" s="1"/>
  <c r="Q37" i="27" s="1"/>
  <c r="B32" i="27"/>
  <c r="C29" i="27"/>
  <c r="D29" i="27" s="1"/>
  <c r="B24" i="27"/>
  <c r="C21" i="27"/>
  <c r="N21" i="27" s="1"/>
  <c r="O21" i="27" s="1"/>
  <c r="Q21" i="27" s="1"/>
  <c r="C13" i="27"/>
  <c r="F13" i="27" s="1"/>
  <c r="G13" i="27" s="1"/>
  <c r="I13" i="27" s="1"/>
  <c r="D40" i="27"/>
  <c r="J31" i="27"/>
  <c r="J28" i="27"/>
  <c r="D33" i="27"/>
  <c r="J48" i="27"/>
  <c r="M36" i="24"/>
  <c r="M11" i="24"/>
  <c r="L4" i="24"/>
  <c r="I7" i="24"/>
  <c r="M7" i="24" s="1"/>
  <c r="I5" i="24"/>
  <c r="M5" i="24" s="1"/>
  <c r="M3" i="24"/>
  <c r="I13" i="24"/>
  <c r="L12" i="24"/>
  <c r="I10" i="24"/>
  <c r="M10" i="24" s="1"/>
  <c r="F14" i="31" s="1"/>
  <c r="L8" i="24"/>
  <c r="L9" i="24"/>
  <c r="L6" i="24"/>
  <c r="L2" i="24"/>
  <c r="I9" i="24"/>
  <c r="L7" i="24"/>
  <c r="I8" i="24"/>
  <c r="M8" i="24" s="1"/>
  <c r="L14" i="24"/>
  <c r="L5" i="24"/>
  <c r="L13" i="24"/>
  <c r="L11" i="24"/>
  <c r="L3" i="24"/>
  <c r="L10" i="24"/>
  <c r="M13" i="24"/>
  <c r="I27" i="24"/>
  <c r="M27" i="24" s="1"/>
  <c r="I37" i="24"/>
  <c r="M37" i="24" s="1"/>
  <c r="I29" i="24"/>
  <c r="M29" i="24" s="1"/>
  <c r="I21" i="24"/>
  <c r="M21" i="24" s="1"/>
  <c r="M38" i="24"/>
  <c r="M28" i="24"/>
  <c r="M20" i="24"/>
  <c r="M35" i="24"/>
  <c r="M19" i="24"/>
  <c r="M26" i="24"/>
  <c r="M18" i="24"/>
  <c r="M41" i="24"/>
  <c r="M33" i="24"/>
  <c r="M25" i="24"/>
  <c r="M17" i="24"/>
  <c r="M40" i="24"/>
  <c r="M32" i="24"/>
  <c r="M24" i="24"/>
  <c r="M16" i="24"/>
  <c r="F15" i="31" s="1"/>
  <c r="M39" i="24"/>
  <c r="F17" i="31" s="1"/>
  <c r="M31" i="24"/>
  <c r="F16" i="31" s="1"/>
  <c r="M23" i="24"/>
  <c r="L40" i="24"/>
  <c r="L32" i="24"/>
  <c r="L24" i="24"/>
  <c r="L16" i="24"/>
  <c r="L39" i="24"/>
  <c r="L31" i="24"/>
  <c r="L23" i="24"/>
  <c r="L15" i="24"/>
  <c r="L38" i="24"/>
  <c r="L30" i="24"/>
  <c r="L22" i="24"/>
  <c r="L37" i="24"/>
  <c r="L29" i="24"/>
  <c r="L21" i="24"/>
  <c r="L36" i="24"/>
  <c r="L28" i="24"/>
  <c r="L20" i="24"/>
  <c r="L35" i="24"/>
  <c r="L27" i="24"/>
  <c r="L19" i="24"/>
  <c r="L34" i="24"/>
  <c r="L26" i="24"/>
  <c r="L18" i="24"/>
  <c r="L41" i="24"/>
  <c r="L33" i="24"/>
  <c r="L25" i="24"/>
  <c r="L17" i="24"/>
  <c r="AM4" i="21" a="1"/>
  <c r="AN11" i="21" s="1"/>
  <c r="AG36" i="21"/>
  <c r="AH36" i="21" s="1"/>
  <c r="AG28" i="21"/>
  <c r="AH28" i="21" s="1"/>
  <c r="AG20" i="21"/>
  <c r="AH20" i="21" s="1"/>
  <c r="AG12" i="21"/>
  <c r="AH12" i="21" s="1"/>
  <c r="AG30" i="21"/>
  <c r="AH30" i="21" s="1"/>
  <c r="AG43" i="21"/>
  <c r="AH43" i="21" s="1"/>
  <c r="AG35" i="21"/>
  <c r="AH35" i="21" s="1"/>
  <c r="AG27" i="21"/>
  <c r="AH27" i="21" s="1"/>
  <c r="AG19" i="21"/>
  <c r="AH19" i="21" s="1"/>
  <c r="AG11" i="21"/>
  <c r="AH11" i="21" s="1"/>
  <c r="AG38" i="21"/>
  <c r="AH38" i="21" s="1"/>
  <c r="AG42" i="21"/>
  <c r="AH42" i="21" s="1"/>
  <c r="AG26" i="21"/>
  <c r="AH26" i="21" s="1"/>
  <c r="AG18" i="21"/>
  <c r="AH18" i="21" s="1"/>
  <c r="AG10" i="21"/>
  <c r="AH10" i="21" s="1"/>
  <c r="AG33" i="21"/>
  <c r="AH33" i="21" s="1"/>
  <c r="AG25" i="21"/>
  <c r="AH25" i="21" s="1"/>
  <c r="AG9" i="21"/>
  <c r="AH9" i="21" s="1"/>
  <c r="AG22" i="21"/>
  <c r="AH22" i="21" s="1"/>
  <c r="AG40" i="21"/>
  <c r="AH40" i="21" s="1"/>
  <c r="AG37" i="21"/>
  <c r="AH37" i="21" s="1"/>
  <c r="AG29" i="21"/>
  <c r="AH29" i="21" s="1"/>
  <c r="AG21" i="21"/>
  <c r="AH21" i="21" s="1"/>
  <c r="AG13" i="21"/>
  <c r="AH13" i="21" s="1"/>
  <c r="AG5" i="21"/>
  <c r="AH5" i="21" s="1"/>
  <c r="AG39" i="21"/>
  <c r="AH39" i="21" s="1"/>
  <c r="AG31" i="21"/>
  <c r="AH31" i="21" s="1"/>
  <c r="AG23" i="21"/>
  <c r="AH23" i="21" s="1"/>
  <c r="AG15" i="21"/>
  <c r="AH15" i="21" s="1"/>
  <c r="AG7" i="21"/>
  <c r="AH7" i="21" s="1"/>
  <c r="J39" i="27" l="1"/>
  <c r="I2" i="24"/>
  <c r="M2" i="24" s="1"/>
  <c r="F12" i="31" s="1"/>
  <c r="D12" i="31"/>
  <c r="N39" i="27"/>
  <c r="C30" i="27"/>
  <c r="I4" i="24"/>
  <c r="M4" i="24" s="1"/>
  <c r="F13" i="31" s="1"/>
  <c r="D13" i="31"/>
  <c r="H42" i="27"/>
  <c r="I42" i="27"/>
  <c r="L42" i="27"/>
  <c r="P42" i="27"/>
  <c r="H17" i="27"/>
  <c r="D21" i="27"/>
  <c r="Q17" i="27"/>
  <c r="J16" i="27"/>
  <c r="K16" i="27" s="1"/>
  <c r="M16" i="27" s="1"/>
  <c r="D43" i="27"/>
  <c r="B6" i="31"/>
  <c r="D39" i="27"/>
  <c r="D19" i="27"/>
  <c r="F92" i="27"/>
  <c r="D93" i="27" s="1"/>
  <c r="N45" i="27"/>
  <c r="O45" i="27" s="1"/>
  <c r="Q45" i="27" s="1"/>
  <c r="D28" i="27"/>
  <c r="C12" i="27"/>
  <c r="J12" i="27" s="1"/>
  <c r="B86" i="27"/>
  <c r="B64" i="27"/>
  <c r="B68" i="27" s="1"/>
  <c r="J24" i="27"/>
  <c r="K24" i="27" s="1"/>
  <c r="M24" i="27" s="1"/>
  <c r="J19" i="27"/>
  <c r="G32" i="27"/>
  <c r="I32" i="27" s="1"/>
  <c r="C23" i="27"/>
  <c r="N23" i="27" s="1"/>
  <c r="O23" i="27" s="1"/>
  <c r="Q23" i="27" s="1"/>
  <c r="N29" i="27"/>
  <c r="O29" i="27" s="1"/>
  <c r="Q29" i="27" s="1"/>
  <c r="N24" i="27"/>
  <c r="G20" i="27"/>
  <c r="I20" i="27" s="1"/>
  <c r="D31" i="27"/>
  <c r="J35" i="27"/>
  <c r="K35" i="27" s="1"/>
  <c r="M35" i="27" s="1"/>
  <c r="C10" i="27"/>
  <c r="F10" i="27" s="1"/>
  <c r="G10" i="27" s="1"/>
  <c r="J47" i="27"/>
  <c r="K47" i="27" s="1"/>
  <c r="M47" i="27" s="1"/>
  <c r="G28" i="27"/>
  <c r="J36" i="27"/>
  <c r="J40" i="27"/>
  <c r="K40" i="27" s="1"/>
  <c r="D18" i="27"/>
  <c r="N40" i="27"/>
  <c r="O40" i="27" s="1"/>
  <c r="N48" i="27"/>
  <c r="O48" i="27" s="1"/>
  <c r="Q48" i="27" s="1"/>
  <c r="C22" i="27"/>
  <c r="D22" i="27" s="1"/>
  <c r="D16" i="27"/>
  <c r="D13" i="27"/>
  <c r="J34" i="27"/>
  <c r="J46" i="27"/>
  <c r="G43" i="27"/>
  <c r="I43" i="27" s="1"/>
  <c r="N13" i="27"/>
  <c r="O13" i="27" s="1"/>
  <c r="Q13" i="27" s="1"/>
  <c r="G19" i="27"/>
  <c r="I19" i="27" s="1"/>
  <c r="C14" i="27"/>
  <c r="N14" i="27" s="1"/>
  <c r="O14" i="27" s="1"/>
  <c r="Q14" i="27" s="1"/>
  <c r="G36" i="27"/>
  <c r="I36" i="27" s="1"/>
  <c r="J15" i="27"/>
  <c r="K15" i="27" s="1"/>
  <c r="M15" i="27" s="1"/>
  <c r="G27" i="27"/>
  <c r="I27" i="27" s="1"/>
  <c r="G44" i="27"/>
  <c r="I44" i="27" s="1"/>
  <c r="J20" i="27"/>
  <c r="K20" i="27" s="1"/>
  <c r="M20" i="27" s="1"/>
  <c r="N31" i="27"/>
  <c r="O31" i="27" s="1"/>
  <c r="Q31" i="27" s="1"/>
  <c r="N35" i="27"/>
  <c r="O35" i="27" s="1"/>
  <c r="Q35" i="27" s="1"/>
  <c r="C38" i="27"/>
  <c r="N38" i="27" s="1"/>
  <c r="D32" i="27"/>
  <c r="H25" i="27"/>
  <c r="L25" i="27"/>
  <c r="P25" i="27"/>
  <c r="J17" i="27"/>
  <c r="K17" i="27" s="1"/>
  <c r="F17" i="27"/>
  <c r="G17" i="27" s="1"/>
  <c r="J49" i="27"/>
  <c r="K49" i="27" s="1"/>
  <c r="M49" i="27" s="1"/>
  <c r="F49" i="27"/>
  <c r="G49" i="27" s="1"/>
  <c r="I49" i="27" s="1"/>
  <c r="K42" i="27"/>
  <c r="D41" i="27"/>
  <c r="N20" i="27"/>
  <c r="O20" i="27" s="1"/>
  <c r="Q20" i="27" s="1"/>
  <c r="D15" i="27"/>
  <c r="D36" i="27"/>
  <c r="D48" i="27"/>
  <c r="N43" i="27"/>
  <c r="O43" i="27" s="1"/>
  <c r="Q43" i="27" s="1"/>
  <c r="J27" i="27"/>
  <c r="K27" i="27" s="1"/>
  <c r="M27" i="27" s="1"/>
  <c r="J45" i="27"/>
  <c r="K45" i="27" s="1"/>
  <c r="M45" i="27" s="1"/>
  <c r="F45" i="27"/>
  <c r="G45" i="27" s="1"/>
  <c r="I45" i="27" s="1"/>
  <c r="G40" i="27"/>
  <c r="L30" i="27"/>
  <c r="P30" i="27"/>
  <c r="H30" i="27"/>
  <c r="D30" i="27"/>
  <c r="F30" i="27"/>
  <c r="G30" i="27" s="1"/>
  <c r="I30" i="27" s="1"/>
  <c r="L20" i="27"/>
  <c r="H20" i="27"/>
  <c r="P20" i="27"/>
  <c r="F12" i="27"/>
  <c r="G12" i="27" s="1"/>
  <c r="H47" i="27"/>
  <c r="L47" i="27"/>
  <c r="P47" i="27"/>
  <c r="O47" i="27"/>
  <c r="Q47" i="27" s="1"/>
  <c r="D47" i="27"/>
  <c r="F47" i="27"/>
  <c r="G47" i="27" s="1"/>
  <c r="D49" i="27"/>
  <c r="J44" i="27"/>
  <c r="K44" i="27" s="1"/>
  <c r="M44" i="27" s="1"/>
  <c r="D44" i="27"/>
  <c r="D24" i="27"/>
  <c r="H48" i="27"/>
  <c r="L48" i="27"/>
  <c r="K48" i="27"/>
  <c r="M48" i="27" s="1"/>
  <c r="P48" i="27"/>
  <c r="P43" i="27"/>
  <c r="H43" i="27"/>
  <c r="L43" i="27"/>
  <c r="H33" i="27"/>
  <c r="L33" i="27"/>
  <c r="P33" i="27"/>
  <c r="J25" i="27"/>
  <c r="K25" i="27" s="1"/>
  <c r="M25" i="27" s="1"/>
  <c r="F25" i="27"/>
  <c r="G25" i="27" s="1"/>
  <c r="I25" i="27" s="1"/>
  <c r="N17" i="27"/>
  <c r="O17" i="27" s="1"/>
  <c r="N49" i="27"/>
  <c r="O49" i="27" s="1"/>
  <c r="Q49" i="27" s="1"/>
  <c r="N28" i="27"/>
  <c r="O28" i="27" s="1"/>
  <c r="N19" i="27"/>
  <c r="O19" i="27" s="1"/>
  <c r="Q19" i="27" s="1"/>
  <c r="N16" i="27"/>
  <c r="O16" i="27" s="1"/>
  <c r="Q16" i="27" s="1"/>
  <c r="D35" i="27"/>
  <c r="J21" i="27"/>
  <c r="K21" i="27" s="1"/>
  <c r="M21" i="27" s="1"/>
  <c r="F21" i="27"/>
  <c r="G21" i="27" s="1"/>
  <c r="I21" i="27" s="1"/>
  <c r="P11" i="27"/>
  <c r="H11" i="27"/>
  <c r="L11" i="27"/>
  <c r="K11" i="27"/>
  <c r="M11" i="27" s="1"/>
  <c r="G48" i="27"/>
  <c r="I48" i="27" s="1"/>
  <c r="L38" i="27"/>
  <c r="P38" i="27"/>
  <c r="O38" i="27"/>
  <c r="Q38" i="27" s="1"/>
  <c r="H38" i="27"/>
  <c r="K28" i="27"/>
  <c r="L23" i="27"/>
  <c r="P23" i="27"/>
  <c r="H23" i="27"/>
  <c r="N18" i="27"/>
  <c r="O18" i="27" s="1"/>
  <c r="Q18" i="27" s="1"/>
  <c r="F18" i="27"/>
  <c r="G18" i="27" s="1"/>
  <c r="J32" i="27"/>
  <c r="K32" i="27" s="1"/>
  <c r="M32" i="27" s="1"/>
  <c r="N32" i="27"/>
  <c r="O32" i="27" s="1"/>
  <c r="Q32" i="27" s="1"/>
  <c r="N11" i="27"/>
  <c r="O11" i="27" s="1"/>
  <c r="Q11" i="27" s="1"/>
  <c r="F11" i="27"/>
  <c r="G11" i="27" s="1"/>
  <c r="I11" i="27" s="1"/>
  <c r="H41" i="27"/>
  <c r="L41" i="27"/>
  <c r="P41" i="27"/>
  <c r="O41" i="27"/>
  <c r="Q41" i="27" s="1"/>
  <c r="J33" i="27"/>
  <c r="K33" i="27" s="1"/>
  <c r="M33" i="27" s="1"/>
  <c r="F33" i="27"/>
  <c r="G33" i="27" s="1"/>
  <c r="I33" i="27" s="1"/>
  <c r="H26" i="27"/>
  <c r="L26" i="27"/>
  <c r="K26" i="27"/>
  <c r="M26" i="27" s="1"/>
  <c r="P26" i="27"/>
  <c r="N26" i="27"/>
  <c r="O26" i="27" s="1"/>
  <c r="Q26" i="27" s="1"/>
  <c r="F26" i="27"/>
  <c r="G26" i="27" s="1"/>
  <c r="I26" i="27" s="1"/>
  <c r="H24" i="27"/>
  <c r="L24" i="27"/>
  <c r="P24" i="27"/>
  <c r="O24" i="27"/>
  <c r="Q24" i="27" s="1"/>
  <c r="D37" i="27"/>
  <c r="N25" i="27"/>
  <c r="O25" i="27" s="1"/>
  <c r="Q25" i="27" s="1"/>
  <c r="D26" i="27"/>
  <c r="N36" i="27"/>
  <c r="O36" i="27" s="1"/>
  <c r="Q36" i="27" s="1"/>
  <c r="N15" i="27"/>
  <c r="O15" i="27" s="1"/>
  <c r="Q15" i="27" s="1"/>
  <c r="D11" i="27"/>
  <c r="J43" i="27"/>
  <c r="K43" i="27" s="1"/>
  <c r="M43" i="27" s="1"/>
  <c r="D27" i="27"/>
  <c r="J38" i="27"/>
  <c r="K38" i="27" s="1"/>
  <c r="M38" i="27" s="1"/>
  <c r="J29" i="27"/>
  <c r="K29" i="27" s="1"/>
  <c r="M29" i="27" s="1"/>
  <c r="F29" i="27"/>
  <c r="G29" i="27" s="1"/>
  <c r="I29" i="27" s="1"/>
  <c r="P19" i="27"/>
  <c r="H19" i="27"/>
  <c r="L19" i="27"/>
  <c r="K19" i="27"/>
  <c r="M19" i="27" s="1"/>
  <c r="L14" i="27"/>
  <c r="P14" i="27"/>
  <c r="H14" i="27"/>
  <c r="H46" i="27"/>
  <c r="L46" i="27"/>
  <c r="K46" i="27"/>
  <c r="M46" i="27" s="1"/>
  <c r="P46" i="27"/>
  <c r="O46" i="27"/>
  <c r="Q46" i="27" s="1"/>
  <c r="D46" i="27"/>
  <c r="F46" i="27"/>
  <c r="G46" i="27" s="1"/>
  <c r="I46" i="27" s="1"/>
  <c r="L36" i="27"/>
  <c r="K36" i="27"/>
  <c r="M36" i="27" s="1"/>
  <c r="P36" i="27"/>
  <c r="H36" i="27"/>
  <c r="H31" i="27"/>
  <c r="L31" i="27"/>
  <c r="K31" i="27"/>
  <c r="M31" i="27" s="1"/>
  <c r="P31" i="27"/>
  <c r="G31" i="27"/>
  <c r="I31" i="27" s="1"/>
  <c r="N34" i="27"/>
  <c r="F34" i="27"/>
  <c r="G34" i="27" s="1"/>
  <c r="I34" i="27" s="1"/>
  <c r="D17" i="27"/>
  <c r="H32" i="27"/>
  <c r="L32" i="27"/>
  <c r="P32" i="27"/>
  <c r="G24" i="27"/>
  <c r="L49" i="27"/>
  <c r="H49" i="27"/>
  <c r="P49" i="27"/>
  <c r="J41" i="27"/>
  <c r="K41" i="27" s="1"/>
  <c r="M41" i="27" s="1"/>
  <c r="F41" i="27"/>
  <c r="G41" i="27" s="1"/>
  <c r="I41" i="27" s="1"/>
  <c r="H34" i="27"/>
  <c r="L34" i="27"/>
  <c r="K34" i="27"/>
  <c r="M34" i="27" s="1"/>
  <c r="P34" i="27"/>
  <c r="O34" i="27"/>
  <c r="Q34" i="27" s="1"/>
  <c r="N42" i="27"/>
  <c r="O42" i="27" s="1"/>
  <c r="F42" i="27"/>
  <c r="G42" i="27" s="1"/>
  <c r="H10" i="27"/>
  <c r="L10" i="27"/>
  <c r="P10" i="27"/>
  <c r="J13" i="27"/>
  <c r="K13" i="27" s="1"/>
  <c r="M13" i="27" s="1"/>
  <c r="D25" i="27"/>
  <c r="N33" i="27"/>
  <c r="O33" i="27" s="1"/>
  <c r="Q33" i="27" s="1"/>
  <c r="D42" i="27"/>
  <c r="N44" i="27"/>
  <c r="O44" i="27" s="1"/>
  <c r="Q44" i="27" s="1"/>
  <c r="D20" i="27"/>
  <c r="N27" i="27"/>
  <c r="O27" i="27" s="1"/>
  <c r="Q27" i="27" s="1"/>
  <c r="J37" i="27"/>
  <c r="K37" i="27" s="1"/>
  <c r="M37" i="27" s="1"/>
  <c r="F37" i="27"/>
  <c r="G37" i="27" s="1"/>
  <c r="I37" i="27" s="1"/>
  <c r="P27" i="27"/>
  <c r="H27" i="27"/>
  <c r="L27" i="27"/>
  <c r="L22" i="27"/>
  <c r="P22" i="27"/>
  <c r="H22" i="27"/>
  <c r="H12" i="27"/>
  <c r="L12" i="27"/>
  <c r="K12" i="27"/>
  <c r="M12" i="27" s="1"/>
  <c r="P12" i="27"/>
  <c r="L44" i="27"/>
  <c r="P44" i="27"/>
  <c r="H44" i="27"/>
  <c r="H39" i="27"/>
  <c r="L39" i="27"/>
  <c r="K39" i="27"/>
  <c r="M39" i="27" s="1"/>
  <c r="P39" i="27"/>
  <c r="O39" i="27"/>
  <c r="Q39" i="27" s="1"/>
  <c r="G39" i="27"/>
  <c r="AO7" i="21"/>
  <c r="AO13" i="21"/>
  <c r="AO10" i="21"/>
  <c r="AN13" i="21"/>
  <c r="AM4" i="21"/>
  <c r="AN5" i="21"/>
  <c r="AO6" i="21"/>
  <c r="AN9" i="21"/>
  <c r="AN12" i="21"/>
  <c r="AN8" i="21"/>
  <c r="AO9" i="21"/>
  <c r="AN7" i="21"/>
  <c r="AO11" i="21"/>
  <c r="AO8" i="21"/>
  <c r="AO14" i="21"/>
  <c r="AN10" i="21"/>
  <c r="AN14" i="21"/>
  <c r="AO5" i="21"/>
  <c r="AO12" i="21"/>
  <c r="AN6" i="21"/>
  <c r="I39" i="27" l="1"/>
  <c r="J24" i="31" s="1"/>
  <c r="I24" i="31"/>
  <c r="I18" i="27"/>
  <c r="J22" i="31" s="1"/>
  <c r="I22" i="31"/>
  <c r="I47" i="27"/>
  <c r="J25" i="31" s="1"/>
  <c r="I25" i="31"/>
  <c r="I12" i="27"/>
  <c r="J21" i="31" s="1"/>
  <c r="I21" i="31"/>
  <c r="N30" i="27"/>
  <c r="O30" i="27" s="1"/>
  <c r="Q30" i="27" s="1"/>
  <c r="J30" i="27"/>
  <c r="K30" i="27" s="1"/>
  <c r="M30" i="27" s="1"/>
  <c r="I24" i="27"/>
  <c r="J23" i="31" s="1"/>
  <c r="I23" i="31"/>
  <c r="I10" i="27"/>
  <c r="J20" i="31" s="1"/>
  <c r="I20" i="31"/>
  <c r="D12" i="27"/>
  <c r="D6" i="31"/>
  <c r="F23" i="27"/>
  <c r="G23" i="27" s="1"/>
  <c r="I23" i="27" s="1"/>
  <c r="N12" i="27"/>
  <c r="O12" i="27" s="1"/>
  <c r="Q12" i="27" s="1"/>
  <c r="D108" i="27"/>
  <c r="D128" i="27"/>
  <c r="D97" i="27"/>
  <c r="D131" i="27"/>
  <c r="D126" i="27"/>
  <c r="D117" i="27"/>
  <c r="D129" i="27"/>
  <c r="D104" i="27"/>
  <c r="D101" i="27"/>
  <c r="D112" i="27"/>
  <c r="D96" i="27"/>
  <c r="D105" i="27"/>
  <c r="D130" i="27"/>
  <c r="D95" i="27"/>
  <c r="F22" i="27"/>
  <c r="G22" i="27" s="1"/>
  <c r="I22" i="27" s="1"/>
  <c r="D127" i="27"/>
  <c r="D100" i="27"/>
  <c r="D114" i="27"/>
  <c r="F14" i="27"/>
  <c r="G14" i="27" s="1"/>
  <c r="I14" i="27" s="1"/>
  <c r="D99" i="27"/>
  <c r="D113" i="27"/>
  <c r="D98" i="27"/>
  <c r="D125" i="27"/>
  <c r="D103" i="27"/>
  <c r="D94" i="27"/>
  <c r="J14" i="27"/>
  <c r="K14" i="27" s="1"/>
  <c r="M14" i="27" s="1"/>
  <c r="D14" i="27"/>
  <c r="D118" i="27"/>
  <c r="D111" i="27"/>
  <c r="D102" i="27"/>
  <c r="D106" i="27"/>
  <c r="D109" i="27"/>
  <c r="F38" i="27"/>
  <c r="G38" i="27" s="1"/>
  <c r="I38" i="27" s="1"/>
  <c r="H6" i="31" s="1"/>
  <c r="D132" i="27"/>
  <c r="D110" i="27"/>
  <c r="D116" i="27"/>
  <c r="D115" i="27"/>
  <c r="D123" i="27"/>
  <c r="D120" i="27"/>
  <c r="D107" i="27"/>
  <c r="D124" i="27"/>
  <c r="D122" i="27"/>
  <c r="D119" i="27"/>
  <c r="D121" i="27"/>
  <c r="D23" i="27"/>
  <c r="J23" i="27"/>
  <c r="K23" i="27" s="1"/>
  <c r="M23" i="27" s="1"/>
  <c r="D38" i="27"/>
  <c r="N22" i="27"/>
  <c r="O22" i="27" s="1"/>
  <c r="Q22" i="27" s="1"/>
  <c r="J22" i="27"/>
  <c r="K22" i="27" s="1"/>
  <c r="M22" i="27" s="1"/>
  <c r="AO4" i="21"/>
  <c r="AN4" i="21"/>
  <c r="F6" i="31" l="1"/>
  <c r="I53" i="27"/>
  <c r="I51" i="27"/>
  <c r="I52" i="27"/>
  <c r="D10" i="27"/>
  <c r="J10" i="27"/>
  <c r="K10" i="27" s="1"/>
  <c r="M10" i="27" s="1"/>
  <c r="N10" i="27"/>
  <c r="O10" i="27" s="1"/>
  <c r="Q10" i="27" s="1"/>
  <c r="M53" i="27" l="1"/>
  <c r="M52" i="27"/>
  <c r="M51" i="27"/>
  <c r="Q53" i="27"/>
  <c r="Q52" i="27"/>
  <c r="Q51" i="2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<sst xmlns="http://schemas.openxmlformats.org/spreadsheetml/2006/main" count="8134" uniqueCount="1590">
  <si>
    <t>Order_ID</t>
  </si>
  <si>
    <t>SaleDate</t>
  </si>
  <si>
    <t>Product Name</t>
  </si>
  <si>
    <t>Category</t>
  </si>
  <si>
    <t>Size</t>
  </si>
  <si>
    <t>Qty</t>
  </si>
  <si>
    <t>UnitPrice_IRR</t>
  </si>
  <si>
    <t>Discount</t>
  </si>
  <si>
    <t>Channel</t>
  </si>
  <si>
    <t>ORD-1539</t>
  </si>
  <si>
    <t>Beige Co-ord Set</t>
  </si>
  <si>
    <t>Co-ord Sets</t>
  </si>
  <si>
    <t>M</t>
  </si>
  <si>
    <t>in-store</t>
  </si>
  <si>
    <t>ORD-1887</t>
  </si>
  <si>
    <t>PRD-003</t>
  </si>
  <si>
    <t>Instagram DM</t>
  </si>
  <si>
    <t>ORD-1545</t>
  </si>
  <si>
    <t>PRD-033</t>
  </si>
  <si>
    <t>Beige Knit Cardigan</t>
  </si>
  <si>
    <t>Knitwear</t>
  </si>
  <si>
    <t>In-Store</t>
  </si>
  <si>
    <t>ORD-1049</t>
  </si>
  <si>
    <t>PRD-040</t>
  </si>
  <si>
    <t>Navy Wide Leg Pants</t>
  </si>
  <si>
    <t>Bottoms</t>
  </si>
  <si>
    <t>ORD-1320</t>
  </si>
  <si>
    <t>PRD-009</t>
  </si>
  <si>
    <t>Red Sweatshirt</t>
  </si>
  <si>
    <t>Sweatshirts</t>
  </si>
  <si>
    <t>ORD-1127</t>
  </si>
  <si>
    <t>PRD-008</t>
  </si>
  <si>
    <t>Olive Sweatshirt</t>
  </si>
  <si>
    <t>ORD-1202</t>
  </si>
  <si>
    <t>PRD-020</t>
  </si>
  <si>
    <t>Striped Shirt</t>
  </si>
  <si>
    <t>Shirts</t>
  </si>
  <si>
    <t>ORD-1824</t>
  </si>
  <si>
    <t>PRD-011</t>
  </si>
  <si>
    <t>Burgundy Knit Dress</t>
  </si>
  <si>
    <t>Knit Dresses</t>
  </si>
  <si>
    <t>Telegram</t>
  </si>
  <si>
    <t>ORD-1065</t>
  </si>
  <si>
    <t>PRD-017</t>
  </si>
  <si>
    <t>Grey Hoodie</t>
  </si>
  <si>
    <t>ORD-2022</t>
  </si>
  <si>
    <t>PRD-016</t>
  </si>
  <si>
    <t>telegram</t>
  </si>
  <si>
    <t>ORD-1966</t>
  </si>
  <si>
    <t>PRD-004</t>
  </si>
  <si>
    <t>Pink Sweatshirt</t>
  </si>
  <si>
    <t>ORD-1767</t>
  </si>
  <si>
    <t>PRD-019</t>
  </si>
  <si>
    <t>White Linen Shirt</t>
  </si>
  <si>
    <t>ORD-1006</t>
  </si>
  <si>
    <t>PRD-035</t>
  </si>
  <si>
    <t>White Basic Tee</t>
  </si>
  <si>
    <t>Basics</t>
  </si>
  <si>
    <t>ORD-1177</t>
  </si>
  <si>
    <t>ORD-1804</t>
  </si>
  <si>
    <t>PRD-014</t>
  </si>
  <si>
    <t>Cable Knit Vest White</t>
  </si>
  <si>
    <t>S</t>
  </si>
  <si>
    <t>ORD-1233</t>
  </si>
  <si>
    <t>PRD-027</t>
  </si>
  <si>
    <t>Floral Print Dress</t>
  </si>
  <si>
    <t>Dresses</t>
  </si>
  <si>
    <t>ORD-1809</t>
  </si>
  <si>
    <t>L</t>
  </si>
  <si>
    <t>ORD-1516</t>
  </si>
  <si>
    <t>PRD-028</t>
  </si>
  <si>
    <t>Website</t>
  </si>
  <si>
    <t>ORD-1826</t>
  </si>
  <si>
    <t>ORD-1900</t>
  </si>
  <si>
    <t>ORD-1805</t>
  </si>
  <si>
    <t>PRD-007</t>
  </si>
  <si>
    <t>ORD-2027</t>
  </si>
  <si>
    <t>ORD-1720</t>
  </si>
  <si>
    <t>ORD-2081</t>
  </si>
  <si>
    <t>ORD-1585</t>
  </si>
  <si>
    <t>ORD-1428</t>
  </si>
  <si>
    <t>ORD-1010</t>
  </si>
  <si>
    <t>PRD-032</t>
  </si>
  <si>
    <t>Khaki Cargo Jacket</t>
  </si>
  <si>
    <t>Outerwear</t>
  </si>
  <si>
    <t>ORD-1253</t>
  </si>
  <si>
    <t>ORD-1992</t>
  </si>
  <si>
    <t>ORD-1363</t>
  </si>
  <si>
    <t>PRD-001</t>
  </si>
  <si>
    <t>ORD-1057</t>
  </si>
  <si>
    <t>PRD-039</t>
  </si>
  <si>
    <t>Rust Co-ord Set</t>
  </si>
  <si>
    <t>ORD-1755</t>
  </si>
  <si>
    <t>ORD-1699</t>
  </si>
  <si>
    <t>PRD-006</t>
  </si>
  <si>
    <t>ORD-1663</t>
  </si>
  <si>
    <t>PRD-026</t>
  </si>
  <si>
    <t>Green Maxi Skirt</t>
  </si>
  <si>
    <t>Skirts</t>
  </si>
  <si>
    <t>ORD-2068</t>
  </si>
  <si>
    <t>ORD-2021</t>
  </si>
  <si>
    <t>PRD-022</t>
  </si>
  <si>
    <t>Sage Green Co-ord</t>
  </si>
  <si>
    <t>ORD-1111</t>
  </si>
  <si>
    <t>PRD-010</t>
  </si>
  <si>
    <t>Blue Sweatshirt</t>
  </si>
  <si>
    <t>ORD-1975</t>
  </si>
  <si>
    <t>ORD-1165</t>
  </si>
  <si>
    <t>PRD-036</t>
  </si>
  <si>
    <t>ORD-1324</t>
  </si>
  <si>
    <t>Magenta Abaya Dress</t>
  </si>
  <si>
    <t>ORD-1197</t>
  </si>
  <si>
    <t>ORD-2194</t>
  </si>
  <si>
    <t>ORD-1587</t>
  </si>
  <si>
    <t>ORD-1351</t>
  </si>
  <si>
    <t>ORD-1569</t>
  </si>
  <si>
    <t>ORD-2016</t>
  </si>
  <si>
    <t>ORD-1766</t>
  </si>
  <si>
    <t>ORD-1507</t>
  </si>
  <si>
    <t>PRD-024</t>
  </si>
  <si>
    <t>Orange Linen Set</t>
  </si>
  <si>
    <t>ORD-1133</t>
  </si>
  <si>
    <t>PRD-034</t>
  </si>
  <si>
    <t>Pyjama Set Printed</t>
  </si>
  <si>
    <t>Pyjamas</t>
  </si>
  <si>
    <t>ORD-1422</t>
  </si>
  <si>
    <t>ORD-2028</t>
  </si>
  <si>
    <t>ORD-1043</t>
  </si>
  <si>
    <t>ORD-1053</t>
  </si>
  <si>
    <t>ORD-1026</t>
  </si>
  <si>
    <t>ORD-2070</t>
  </si>
  <si>
    <t>PRD-013</t>
  </si>
  <si>
    <t>Brown Turtleneck Knit</t>
  </si>
  <si>
    <t>PRD-021</t>
  </si>
  <si>
    <t>ORD-1360</t>
  </si>
  <si>
    <t>ORD-2107</t>
  </si>
  <si>
    <t>ORD-1411</t>
  </si>
  <si>
    <t>ORD-1881</t>
  </si>
  <si>
    <t>ORD-1869</t>
  </si>
  <si>
    <t>PRD-015</t>
  </si>
  <si>
    <t>ORD-1305</t>
  </si>
  <si>
    <t>ORD-1847</t>
  </si>
  <si>
    <t>Black Abaya Dress</t>
  </si>
  <si>
    <t>ORD-1750</t>
  </si>
  <si>
    <t>PRD-029</t>
  </si>
  <si>
    <t>ORD-2104</t>
  </si>
  <si>
    <t>ORD-2171</t>
  </si>
  <si>
    <t>PRD-038</t>
  </si>
  <si>
    <t>Grey Maxi Dress</t>
  </si>
  <si>
    <t>ORD-1325</t>
  </si>
  <si>
    <t>ORD-1484</t>
  </si>
  <si>
    <t>ORD-1183</t>
  </si>
  <si>
    <t>ORD-1355</t>
  </si>
  <si>
    <t>PRD-031</t>
  </si>
  <si>
    <t>ORD-1599</t>
  </si>
  <si>
    <t>ORD-1479</t>
  </si>
  <si>
    <t>ORD-2087</t>
  </si>
  <si>
    <t>ORD-1813</t>
  </si>
  <si>
    <t>ORD-1662</t>
  </si>
  <si>
    <t>ORD-1477</t>
  </si>
  <si>
    <t>ORD-1361</t>
  </si>
  <si>
    <t>ORD-2135</t>
  </si>
  <si>
    <t>PRD-037</t>
  </si>
  <si>
    <t>ORD-2053</t>
  </si>
  <si>
    <t>ORD-1188</t>
  </si>
  <si>
    <t>ORD-1815</t>
  </si>
  <si>
    <t>ORD-1557</t>
  </si>
  <si>
    <t>ORD-2167</t>
  </si>
  <si>
    <t>ORD-1712</t>
  </si>
  <si>
    <t>ORD-1537</t>
  </si>
  <si>
    <t>ORD-1192</t>
  </si>
  <si>
    <t>ORD-2008</t>
  </si>
  <si>
    <t>ORD-1244</t>
  </si>
  <si>
    <t>PRD-012</t>
  </si>
  <si>
    <t>ORD-2148</t>
  </si>
  <si>
    <t>ORD-1415</t>
  </si>
  <si>
    <t>ORD-1654</t>
  </si>
  <si>
    <t>ORD-1436</t>
  </si>
  <si>
    <t>ORD-2106</t>
  </si>
  <si>
    <t>ORD-1475</t>
  </si>
  <si>
    <t>ORD-1097</t>
  </si>
  <si>
    <t>ORD-1245</t>
  </si>
  <si>
    <t>ORD-1058</t>
  </si>
  <si>
    <t>ORD-1518</t>
  </si>
  <si>
    <t>PRD-030</t>
  </si>
  <si>
    <t>ORD-1182</t>
  </si>
  <si>
    <t>ORD-1974</t>
  </si>
  <si>
    <t>ORD-1929</t>
  </si>
  <si>
    <t>ORD-1024</t>
  </si>
  <si>
    <t>ORD-1039</t>
  </si>
  <si>
    <t>ORD-1365</t>
  </si>
  <si>
    <t>ORD-1521</t>
  </si>
  <si>
    <t>ORD-1624</t>
  </si>
  <si>
    <t>ORD-1084</t>
  </si>
  <si>
    <t>ORD-2032</t>
  </si>
  <si>
    <t>ORD-1205</t>
  </si>
  <si>
    <t>ORD-1463</t>
  </si>
  <si>
    <t>ORD-1340</t>
  </si>
  <si>
    <t>ORD-1147</t>
  </si>
  <si>
    <t>ORD-1510</t>
  </si>
  <si>
    <t>ORD-1251</t>
  </si>
  <si>
    <t>ORD-1991</t>
  </si>
  <si>
    <t>ORD-1061</t>
  </si>
  <si>
    <t>ORD-1174</t>
  </si>
  <si>
    <t>ORD-1984</t>
  </si>
  <si>
    <t>ORD-1775</t>
  </si>
  <si>
    <t>ORD-2026</t>
  </si>
  <si>
    <t>ORD-2127</t>
  </si>
  <si>
    <t>ORD-1384</t>
  </si>
  <si>
    <t>ORD-2066</t>
  </si>
  <si>
    <t>ORD-1679</t>
  </si>
  <si>
    <t>ORD-1848</t>
  </si>
  <si>
    <t>ORD-2052</t>
  </si>
  <si>
    <t>ORD-2063</t>
  </si>
  <si>
    <t>ORD-1101</t>
  </si>
  <si>
    <t>PRD-002</t>
  </si>
  <si>
    <t>ORD-1425</t>
  </si>
  <si>
    <t>ORD-1178</t>
  </si>
  <si>
    <t>ORD-1722</t>
  </si>
  <si>
    <t>ORD-1104</t>
  </si>
  <si>
    <t>ORD-1502</t>
  </si>
  <si>
    <t>ORD-1310</t>
  </si>
  <si>
    <t>ORD-2088</t>
  </si>
  <si>
    <t>ORD-1693</t>
  </si>
  <si>
    <t>ORD-1564</t>
  </si>
  <si>
    <t>ORD-1409</t>
  </si>
  <si>
    <t>ORD-2122</t>
  </si>
  <si>
    <t>ORD-2168</t>
  </si>
  <si>
    <t>PRD-005</t>
  </si>
  <si>
    <t>ORD-1145</t>
  </si>
  <si>
    <t>ORD-1438</t>
  </si>
  <si>
    <t>ORD-1113</t>
  </si>
  <si>
    <t>ORD-2185</t>
  </si>
  <si>
    <t>ORD-1601</t>
  </si>
  <si>
    <t>ORD-1589</t>
  </si>
  <si>
    <t>ORD-1958</t>
  </si>
  <si>
    <t>ORD-1213</t>
  </si>
  <si>
    <t>ORD-2078</t>
  </si>
  <si>
    <t>ORD-2091</t>
  </si>
  <si>
    <t>ORD-2035</t>
  </si>
  <si>
    <t>ORD-2024</t>
  </si>
  <si>
    <t>ORD-1138</t>
  </si>
  <si>
    <t>PRD-025</t>
  </si>
  <si>
    <t>ORD-1763</t>
  </si>
  <si>
    <t>ORD-1210</t>
  </si>
  <si>
    <t>ORD-1156</t>
  </si>
  <si>
    <t>ORD-1523</t>
  </si>
  <si>
    <t>ORD-1209</t>
  </si>
  <si>
    <t>ORD-1430</t>
  </si>
  <si>
    <t>ORD-1344</t>
  </si>
  <si>
    <t>PRD-018</t>
  </si>
  <si>
    <t>ORD-2077</t>
  </si>
  <si>
    <t>ORD-2007</t>
  </si>
  <si>
    <t>ORD-2062</t>
  </si>
  <si>
    <t>ORD-1071</t>
  </si>
  <si>
    <t>ORD-1255</t>
  </si>
  <si>
    <t>ORD-1898</t>
  </si>
  <si>
    <t>ORD-1928</t>
  </si>
  <si>
    <t>ORD-1455</t>
  </si>
  <si>
    <t>ORD-2150</t>
  </si>
  <si>
    <t>ORD-1818</t>
  </si>
  <si>
    <t>ORD-1341</t>
  </si>
  <si>
    <t>ORD-2154</t>
  </si>
  <si>
    <t>ORD-1374</t>
  </si>
  <si>
    <t>ORD-1937</t>
  </si>
  <si>
    <t>ORD-1073</t>
  </si>
  <si>
    <t>ORD-1688</t>
  </si>
  <si>
    <t>ORD-1873</t>
  </si>
  <si>
    <t>ORD-1784</t>
  </si>
  <si>
    <t>ORD-1421</t>
  </si>
  <si>
    <t>ORD-1598</t>
  </si>
  <si>
    <t>ORD-1604</t>
  </si>
  <si>
    <t>ORD-1735</t>
  </si>
  <si>
    <t>ORD-1164</t>
  </si>
  <si>
    <t>ORD-1976</t>
  </si>
  <si>
    <t>ORD-1861</t>
  </si>
  <si>
    <t>ORD-1269</t>
  </si>
  <si>
    <t>ORD-1450</t>
  </si>
  <si>
    <t>ORD-1548</t>
  </si>
  <si>
    <t>ORD-1256</t>
  </si>
  <si>
    <t>ORD-2181</t>
  </si>
  <si>
    <t>ORD-1798</t>
  </si>
  <si>
    <t>ORD-1315</t>
  </si>
  <si>
    <t>ORD-1118</t>
  </si>
  <si>
    <t>ORD-1462</t>
  </si>
  <si>
    <t>ORD-1986</t>
  </si>
  <si>
    <t>ORD-1299</t>
  </si>
  <si>
    <t>website</t>
  </si>
  <si>
    <t>ORD-1586</t>
  </si>
  <si>
    <t>ORD-1725</t>
  </si>
  <si>
    <t>ORD-1383</t>
  </si>
  <si>
    <t>ORD-1833</t>
  </si>
  <si>
    <t>ORD-1903</t>
  </si>
  <si>
    <t>ORD-2158</t>
  </si>
  <si>
    <t>ORD-1216</t>
  </si>
  <si>
    <t>ORD-1008</t>
  </si>
  <si>
    <t>ORD-1069</t>
  </si>
  <si>
    <t>ORD-1283</t>
  </si>
  <si>
    <t>ORD-1318</t>
  </si>
  <si>
    <t>PRD-023</t>
  </si>
  <si>
    <t>ORD-1706</t>
  </si>
  <si>
    <t>ORD-1066</t>
  </si>
  <si>
    <t>ORD-1398</t>
  </si>
  <si>
    <t>ORD-2192</t>
  </si>
  <si>
    <t>ORD-1175</t>
  </si>
  <si>
    <t>ORD-1400</t>
  </si>
  <si>
    <t>ORD-2073</t>
  </si>
  <si>
    <t>ORD-1658</t>
  </si>
  <si>
    <t>ORD-1250</t>
  </si>
  <si>
    <t>ORD-1718</t>
  </si>
  <si>
    <t>ORD-2112</t>
  </si>
  <si>
    <t>ORD-1531</t>
  </si>
  <si>
    <t>ORD-1481</t>
  </si>
  <si>
    <t>ORD-1028</t>
  </si>
  <si>
    <t>ORD-1713</t>
  </si>
  <si>
    <t>ORD-2162</t>
  </si>
  <si>
    <t>ORD-1373</t>
  </si>
  <si>
    <t>ORD-1459</t>
  </si>
  <si>
    <t>ORD-1262</t>
  </si>
  <si>
    <t>ORD-1194</t>
  </si>
  <si>
    <t>ORD-1886</t>
  </si>
  <si>
    <t>ORD-1969</t>
  </si>
  <si>
    <t>ORD-1298</t>
  </si>
  <si>
    <t>ORD-1853</t>
  </si>
  <si>
    <t>ORD-1582</t>
  </si>
  <si>
    <t>ORD-1223</t>
  </si>
  <si>
    <t>ORD-1543</t>
  </si>
  <si>
    <t>ORD-1854</t>
  </si>
  <si>
    <t>ORD-1709</t>
  </si>
  <si>
    <t>ORD-1200</t>
  </si>
  <si>
    <t>ORD-1761</t>
  </si>
  <si>
    <t>ORD-2126</t>
  </si>
  <si>
    <t>ORD-1327</t>
  </si>
  <si>
    <t>ORD-1724</t>
  </si>
  <si>
    <t>ORD-1034</t>
  </si>
  <si>
    <t>ORD-1655</t>
  </si>
  <si>
    <t>ORD-1678</t>
  </si>
  <si>
    <t>ORD-1307</t>
  </si>
  <si>
    <t>ORD-1449</t>
  </si>
  <si>
    <t>ORD-1265</t>
  </si>
  <si>
    <t>ORD-2153</t>
  </si>
  <si>
    <t>ORD-2080</t>
  </si>
  <si>
    <t>ORD-1703</t>
  </si>
  <si>
    <t>ORD-1753</t>
  </si>
  <si>
    <t>ORD-2050</t>
  </si>
  <si>
    <t>ORD-1314</t>
  </si>
  <si>
    <t>ORD-1894</t>
  </si>
  <si>
    <t>ORD-1963</t>
  </si>
  <si>
    <t>ORD-1577</t>
  </si>
  <si>
    <t>ORD-1308</t>
  </si>
  <si>
    <t>ORD-1469</t>
  </si>
  <si>
    <t>ORD-1964</t>
  </si>
  <si>
    <t>ORD-1349</t>
  </si>
  <si>
    <t>ORD-1168</t>
  </si>
  <si>
    <t>ORD-1778</t>
  </si>
  <si>
    <t>ORD-1009</t>
  </si>
  <si>
    <t>ORD-1938</t>
  </si>
  <si>
    <t>ORD-1981</t>
  </si>
  <si>
    <t>ORD-1797</t>
  </si>
  <si>
    <t>ORD-1426</t>
  </si>
  <si>
    <t>ORD-1335</t>
  </si>
  <si>
    <t>ORD-1476</t>
  </si>
  <si>
    <t>ORD-1051</t>
  </si>
  <si>
    <t>ORD-1747</t>
  </si>
  <si>
    <t>ORD-1052</t>
  </si>
  <si>
    <t>ORD-1014</t>
  </si>
  <si>
    <t>ORD-1814</t>
  </si>
  <si>
    <t>ORD-1920</t>
  </si>
  <si>
    <t>ORD-1021</t>
  </si>
  <si>
    <t>ORD-1789</t>
  </si>
  <si>
    <t>ORD-1648</t>
  </si>
  <si>
    <t>ORD-1932</t>
  </si>
  <si>
    <t>ORD-1356</t>
  </si>
  <si>
    <t>ORD-2174</t>
  </si>
  <si>
    <t>ORD-1004</t>
  </si>
  <si>
    <t>ORD-1993</t>
  </si>
  <si>
    <t>ORD-1289</t>
  </si>
  <si>
    <t>ORD-1159</t>
  </si>
  <si>
    <t>ORD-1081</t>
  </si>
  <si>
    <t>ORD-1838</t>
  </si>
  <si>
    <t>ORD-1681</t>
  </si>
  <si>
    <t>ORD-1040</t>
  </si>
  <si>
    <t>ORD-1359</t>
  </si>
  <si>
    <t>ORD-1627</t>
  </si>
  <si>
    <t>ORD-1651</t>
  </si>
  <si>
    <t>ORD-1347</t>
  </si>
  <si>
    <t>ORD-1988</t>
  </si>
  <si>
    <t>ORD-1025</t>
  </si>
  <si>
    <t>ORD-1825</t>
  </si>
  <si>
    <t>ORD-2041</t>
  </si>
  <si>
    <t>ORD-1228</t>
  </si>
  <si>
    <t>ORD-1427</t>
  </si>
  <si>
    <t>ORD-1965</t>
  </si>
  <si>
    <t>ORD-1169</t>
  </si>
  <si>
    <t>ORD-2048</t>
  </si>
  <si>
    <t>ORD-1884</t>
  </si>
  <si>
    <t>ORD-1677</t>
  </si>
  <si>
    <t>ORD-1152</t>
  </si>
  <si>
    <t>ORD-1195</t>
  </si>
  <si>
    <t>ORD-1910</t>
  </si>
  <si>
    <t>ORD-2055</t>
  </si>
  <si>
    <t>ORD-1947</t>
  </si>
  <si>
    <t>ORD-2043</t>
  </si>
  <si>
    <t>ORD-2121</t>
  </si>
  <si>
    <t>ORD-1921</t>
  </si>
  <si>
    <t>ORD-1500</t>
  </si>
  <si>
    <t>ORD-1683</t>
  </si>
  <si>
    <t>ORD-1153</t>
  </si>
  <si>
    <t>ORD-1128</t>
  </si>
  <si>
    <t>ORD-1112</t>
  </si>
  <si>
    <t>ORD-1801</t>
  </si>
  <si>
    <t>ORD-1632</t>
  </si>
  <si>
    <t>ORD-1099</t>
  </si>
  <si>
    <t>ORD-1229</t>
  </si>
  <si>
    <t>ORD-1219</t>
  </si>
  <si>
    <t>ORD-1019</t>
  </si>
  <si>
    <t>ORD-1851</t>
  </si>
  <si>
    <t>ORD-1279</t>
  </si>
  <si>
    <t>ORD-1139</t>
  </si>
  <si>
    <t>ORD-1645</t>
  </si>
  <si>
    <t>ORD-2034</t>
  </si>
  <si>
    <t>ORD-1271</t>
  </si>
  <si>
    <t>ORD-1949</t>
  </si>
  <si>
    <t>ORD-1077</t>
  </si>
  <si>
    <t>ORD-1172</t>
  </si>
  <si>
    <t>ORD-1987</t>
  </si>
  <si>
    <t>ORD-2139</t>
  </si>
  <si>
    <t>ORD-1904</t>
  </si>
  <si>
    <t>ORD-1827</t>
  </si>
  <si>
    <t>ORD-2149</t>
  </si>
  <si>
    <t>ORD-1151</t>
  </si>
  <si>
    <t>ORD-1715</t>
  </si>
  <si>
    <t>ORD-1787</t>
  </si>
  <si>
    <t>ORD-2131</t>
  </si>
  <si>
    <t>ORD-1829</t>
  </si>
  <si>
    <t>ORD-1206</t>
  </si>
  <si>
    <t>ORD-1674</t>
  </si>
  <si>
    <t>ORD-1672</t>
  </si>
  <si>
    <t>ORD-1404</t>
  </si>
  <si>
    <t>ORD-1180</t>
  </si>
  <si>
    <t>ORD-2059</t>
  </si>
  <si>
    <t>ORD-1595</t>
  </si>
  <si>
    <t>ORD-1948</t>
  </si>
  <si>
    <t>ORD-1132</t>
  </si>
  <si>
    <t>ORD-1519</t>
  </si>
  <si>
    <t>ORD-1513</t>
  </si>
  <si>
    <t>ORD-1387</t>
  </si>
  <si>
    <t>ORD-2169</t>
  </si>
  <si>
    <t>ORD-1729</t>
  </si>
  <si>
    <t>ORD-1491</t>
  </si>
  <si>
    <t>ORD-1103</t>
  </si>
  <si>
    <t>ORD-1594</t>
  </si>
  <si>
    <t>ORD-2033</t>
  </si>
  <si>
    <t>ORD-1263</t>
  </si>
  <si>
    <t>ORD-1493</t>
  </si>
  <si>
    <t>ORD-1319</t>
  </si>
  <si>
    <t>ORD-1487</t>
  </si>
  <si>
    <t>ORD-1615</t>
  </si>
  <si>
    <t>ORD-1596</t>
  </si>
  <si>
    <t>ORD-2120</t>
  </si>
  <si>
    <t>ORD-1774</t>
  </si>
  <si>
    <t>ORD-1410</t>
  </si>
  <si>
    <t>ORD-1304</t>
  </si>
  <si>
    <t>ORD-1855</t>
  </si>
  <si>
    <t>ORD-1759</t>
  </si>
  <si>
    <t>ORD-1391</t>
  </si>
  <si>
    <t>ORD-1934</t>
  </si>
  <si>
    <t>ORD-1882</t>
  </si>
  <si>
    <t>ORD-1284</t>
  </si>
  <si>
    <t>ORD-1416</t>
  </si>
  <si>
    <t>ORD-1956</t>
  </si>
  <si>
    <t>ORD-1618</t>
  </si>
  <si>
    <t>ORD-1866</t>
  </si>
  <si>
    <t>ORD-1290</t>
  </si>
  <si>
    <t>ORD-1072</t>
  </si>
  <si>
    <t>ORD-1330</t>
  </si>
  <si>
    <t>ORD-1968</t>
  </si>
  <si>
    <t>ORD-1832</t>
  </si>
  <si>
    <t>ORD-1456</t>
  </si>
  <si>
    <t>ORD-1495</t>
  </si>
  <si>
    <t>ORD-1364</t>
  </si>
  <si>
    <t>ORD-1977</t>
  </si>
  <si>
    <t>ORD-1609</t>
  </si>
  <si>
    <t>ORD-2136</t>
  </si>
  <si>
    <t>ORD-1786</t>
  </si>
  <si>
    <t>ORD-2084</t>
  </si>
  <si>
    <t>ORD-1334</t>
  </si>
  <si>
    <t>ORD-2023</t>
  </si>
  <si>
    <t>ORD-1131</t>
  </si>
  <si>
    <t>ORD-1247</t>
  </si>
  <si>
    <t>ORD-1489</t>
  </si>
  <si>
    <t>ORD-1007</t>
  </si>
  <si>
    <t>ORD-1348</t>
  </si>
  <si>
    <t>ORD-2071</t>
  </si>
  <si>
    <t>ORD-1942</t>
  </si>
  <si>
    <t>ORD-1220</t>
  </si>
  <si>
    <t>ORD-1625</t>
  </si>
  <si>
    <t>ORD-1893</t>
  </si>
  <si>
    <t>ORD-1236</t>
  </si>
  <si>
    <t>ORD-1741</t>
  </si>
  <si>
    <t>ORD-1434</t>
  </si>
  <si>
    <t>ORD-1914</t>
  </si>
  <si>
    <t>ORD-1574</t>
  </si>
  <si>
    <t>ORD-1291</t>
  </si>
  <si>
    <t>ORD-1420</t>
  </si>
  <si>
    <t>ORD-2051</t>
  </si>
  <si>
    <t>ORD-1225</t>
  </si>
  <si>
    <t>ORD-1834</t>
  </si>
  <si>
    <t>ORD-1482</t>
  </si>
  <si>
    <t>ORD-1116</t>
  </si>
  <si>
    <t>ORD-1185</t>
  </si>
  <si>
    <t>ORD-1380</t>
  </si>
  <si>
    <t>ORD-1889</t>
  </si>
  <si>
    <t>ORD-2094</t>
  </si>
  <si>
    <t>ORD-1041</t>
  </si>
  <si>
    <t>ORD-1218</t>
  </si>
  <si>
    <t>ORD-1714</t>
  </si>
  <si>
    <t>ORD-2076</t>
  </si>
  <si>
    <t>ORD-1044</t>
  </si>
  <si>
    <t>ORD-1916</t>
  </si>
  <si>
    <t>ORD-2038</t>
  </si>
  <si>
    <t>ORD-1055</t>
  </si>
  <si>
    <t>ORD-1682</t>
  </si>
  <si>
    <t>ORD-1237</t>
  </si>
  <si>
    <t>ORD-1793</t>
  </si>
  <si>
    <t>ORD-1608</t>
  </si>
  <si>
    <t>ORD-2187</t>
  </si>
  <si>
    <t>ORD-1190</t>
  </si>
  <si>
    <t>ORD-1294</t>
  </si>
  <si>
    <t>ORD-2117</t>
  </si>
  <si>
    <t>ORD-1473</t>
  </si>
  <si>
    <t>ORD-1850</t>
  </si>
  <si>
    <t>ORD-1796</t>
  </si>
  <si>
    <t>ORD-1357</t>
  </si>
  <si>
    <t>ORD-1837</t>
  </si>
  <si>
    <t>ORD-1556</t>
  </si>
  <si>
    <t>ORD-1859</t>
  </si>
  <si>
    <t>ORD-2145</t>
  </si>
  <si>
    <t>ORD-1915</t>
  </si>
  <si>
    <t>ORD-1912</t>
  </si>
  <si>
    <t>ORD-2047</t>
  </si>
  <si>
    <t>ORD-1954</t>
  </si>
  <si>
    <t>ORD-1584</t>
  </si>
  <si>
    <t>ORD-1723</t>
  </si>
  <si>
    <t>ORD-1277</t>
  </si>
  <si>
    <t>ORD-1822</t>
  </si>
  <si>
    <t>ORD-1794</t>
  </si>
  <si>
    <t>ORD-1214</t>
  </si>
  <si>
    <t>ORD-1506</t>
  </si>
  <si>
    <t>ORD-1530</t>
  </si>
  <si>
    <t>ORD-1123</t>
  </si>
  <si>
    <t>ORD-1779</t>
  </si>
  <si>
    <t>ORD-1588</t>
  </si>
  <si>
    <t>ORD-1134</t>
  </si>
  <si>
    <t>ORD-1352</t>
  </si>
  <si>
    <t>ORD-1082</t>
  </si>
  <si>
    <t>ORD-1264</t>
  </si>
  <si>
    <t>ORD-1691</t>
  </si>
  <si>
    <t>ORD-1791</t>
  </si>
  <si>
    <t>ORD-1333</t>
  </si>
  <si>
    <t>ORD-1266</t>
  </si>
  <si>
    <t>ORD-1955</t>
  </si>
  <si>
    <t>ORD-2085</t>
  </si>
  <si>
    <t>ORD-2133</t>
  </si>
  <si>
    <t>ORD-1525</t>
  </si>
  <si>
    <t>ORD-1983</t>
  </si>
  <si>
    <t>ORD-1403</t>
  </si>
  <si>
    <t>ORD-1453</t>
  </si>
  <si>
    <t>ORD-1573</t>
  </si>
  <si>
    <t>ORD-1454</t>
  </si>
  <si>
    <t>ORD-1167</t>
  </si>
  <si>
    <t>ORD-1895</t>
  </si>
  <si>
    <t>ORD-1286</t>
  </si>
  <si>
    <t>ORD-1622</t>
  </si>
  <si>
    <t>ORD-1083</t>
  </si>
  <si>
    <t>ORD-2166</t>
  </si>
  <si>
    <t>ORD-1090</t>
  </si>
  <si>
    <t>ORD-2017</t>
  </si>
  <si>
    <t>ORD-1442</t>
  </si>
  <si>
    <t>ORD-1433</t>
  </si>
  <si>
    <t>ORD-1576</t>
  </si>
  <si>
    <t>ORD-1423</t>
  </si>
  <si>
    <t>ORD-1108</t>
  </si>
  <si>
    <t>ORD-1856</t>
  </si>
  <si>
    <t>ORD-1744</t>
  </si>
  <si>
    <t>ORD-1619</t>
  </si>
  <si>
    <t>ORD-1281</t>
  </si>
  <si>
    <t>ORD-1419</t>
  </si>
  <si>
    <t>ORD-1350</t>
  </si>
  <si>
    <t>ORD-1224</t>
  </si>
  <si>
    <t>ORD-1943</t>
  </si>
  <si>
    <t>ORD-1740</t>
  </si>
  <si>
    <t>ORD-2113</t>
  </si>
  <si>
    <t>ORD-2097</t>
  </si>
  <si>
    <t>ORD-1000</t>
  </si>
  <si>
    <t>ORD-1508</t>
  </si>
  <si>
    <t>ORD-2046</t>
  </si>
  <si>
    <t>ORD-2009</t>
  </si>
  <si>
    <t>ORD-1546</t>
  </si>
  <si>
    <t>ORD-1742</t>
  </si>
  <si>
    <t>ORD-1926</t>
  </si>
  <si>
    <t>ORD-1879</t>
  </si>
  <si>
    <t>ORD-1445</t>
  </si>
  <si>
    <t>ORD-2186</t>
  </si>
  <si>
    <t>ORD-1891</t>
  </si>
  <si>
    <t>ORD-1497</t>
  </si>
  <si>
    <t>ORD-1989</t>
  </si>
  <si>
    <t>ORD-1953</t>
  </si>
  <si>
    <t>ORD-2164</t>
  </si>
  <si>
    <t>ORD-1960</t>
  </si>
  <si>
    <t>ORD-1590</t>
  </si>
  <si>
    <t>ORD-1831</t>
  </si>
  <si>
    <t>ORD-1375</t>
  </si>
  <si>
    <t>ORD-1270</t>
  </si>
  <si>
    <t>ORD-1863</t>
  </si>
  <si>
    <t>ORD-1777</t>
  </si>
  <si>
    <t>ORD-1905</t>
  </si>
  <si>
    <t>ORD-2111</t>
  </si>
  <si>
    <t>ORD-1342</t>
  </si>
  <si>
    <t>ORD-1488</t>
  </si>
  <si>
    <t>ORD-1630</t>
  </si>
  <si>
    <t>ORD-2159</t>
  </si>
  <si>
    <t>ORD-1181</t>
  </si>
  <si>
    <t>ORD-1272</t>
  </si>
  <si>
    <t>ORD-2173</t>
  </si>
  <si>
    <t>ORD-2079</t>
  </si>
  <si>
    <t>ORD-1412</t>
  </si>
  <si>
    <t>ORD-2110</t>
  </si>
  <si>
    <t>ORD-1287</t>
  </si>
  <si>
    <t>ORD-1902</t>
  </si>
  <si>
    <t>ORD-1652</t>
  </si>
  <si>
    <t>ORD-2029</t>
  </si>
  <si>
    <t>ORD-1673</t>
  </si>
  <si>
    <t>ORD-2129</t>
  </si>
  <si>
    <t>ORD-1394</t>
  </si>
  <si>
    <t>ORD-1303</t>
  </si>
  <si>
    <t>ORD-1499</t>
  </si>
  <si>
    <t>ORD-1695</t>
  </si>
  <si>
    <t>ORD-1844</t>
  </si>
  <si>
    <t>ORD-1297</t>
  </si>
  <si>
    <t>ORD-1830</t>
  </si>
  <si>
    <t>ORD-1498</t>
  </si>
  <si>
    <t>ORD-1471</t>
  </si>
  <si>
    <t>ORD-1120</t>
  </si>
  <si>
    <t>ORD-1321</t>
  </si>
  <si>
    <t>ORD-1843</t>
  </si>
  <si>
    <t>ORD-1343</t>
  </si>
  <si>
    <t>ORD-2189</t>
  </si>
  <si>
    <t>ORD-1906</t>
  </si>
  <si>
    <t>ORD-1607</t>
  </si>
  <si>
    <t>ORD-1142</t>
  </si>
  <si>
    <t>ORD-2108</t>
  </si>
  <si>
    <t>ORD-1005</t>
  </si>
  <si>
    <t>ORD-1020</t>
  </si>
  <si>
    <t>ORD-1080</t>
  </si>
  <si>
    <t>ORD-1309</t>
  </si>
  <si>
    <t>ORD-1620</t>
  </si>
  <si>
    <t>ORD-1389</t>
  </si>
  <si>
    <t>ORD-1191</t>
  </si>
  <si>
    <t>ORD-1572</t>
  </si>
  <si>
    <t>ORD-1738</t>
  </si>
  <si>
    <t>ORD-1597</t>
  </si>
  <si>
    <t>ORD-1367</t>
  </si>
  <si>
    <t>ORD-1441</t>
  </si>
  <si>
    <t>ORD-1089</t>
  </si>
  <si>
    <t>ORD-1022</t>
  </si>
  <si>
    <t>ORD-1129</t>
  </si>
  <si>
    <t>ORD-2093</t>
  </si>
  <si>
    <t>ORD-1023</t>
  </si>
  <si>
    <t>ORD-1641</t>
  </si>
  <si>
    <t>ORD-2175</t>
  </si>
  <si>
    <t>ORD-1583</t>
  </si>
  <si>
    <t>ORD-1079</t>
  </si>
  <si>
    <t>ORD-1464</t>
  </si>
  <si>
    <t>ORD-1371</t>
  </si>
  <si>
    <t>ORD-2198</t>
  </si>
  <si>
    <t>ORD-2000</t>
  </si>
  <si>
    <t>ORD-1952</t>
  </si>
  <si>
    <t>ORD-1945</t>
  </si>
  <si>
    <t>ORD-1372</t>
  </si>
  <si>
    <t>ORD-1935</t>
  </si>
  <si>
    <t>ORD-2114</t>
  </si>
  <si>
    <t>ORD-1541</t>
  </si>
  <si>
    <t>ORD-1483</t>
  </si>
  <si>
    <t>ORD-1121</t>
  </si>
  <si>
    <t>ORD-1579</t>
  </si>
  <si>
    <t>ORD-2163</t>
  </si>
  <si>
    <t>ORD-1941</t>
  </si>
  <si>
    <t>ORD-1726</t>
  </si>
  <si>
    <t>ORD-1997</t>
  </si>
  <si>
    <t>ORD-1552</t>
  </si>
  <si>
    <t>ORD-1239</t>
  </si>
  <si>
    <t>ORD-1817</t>
  </si>
  <si>
    <t>ORD-1640</t>
  </si>
  <si>
    <t>ORD-1470</t>
  </si>
  <si>
    <t>ORD-1923</t>
  </si>
  <si>
    <t>ORD-1397</t>
  </si>
  <si>
    <t>ORD-1163</t>
  </si>
  <si>
    <t>ORD-1414</t>
  </si>
  <si>
    <t>ORD-1578</t>
  </si>
  <si>
    <t>ORD-1772</t>
  </si>
  <si>
    <t>ORD-1858</t>
  </si>
  <si>
    <t>ORD-1386</t>
  </si>
  <si>
    <t>ORD-2180</t>
  </si>
  <si>
    <t>ORD-1567</t>
  </si>
  <si>
    <t>ORD-2042</t>
  </si>
  <si>
    <t>ORD-1207</t>
  </si>
  <si>
    <t>ORD-2144</t>
  </si>
  <si>
    <t>ORD-1429</t>
  </si>
  <si>
    <t>ORD-1440</t>
  </si>
  <si>
    <t>ORD-1950</t>
  </si>
  <si>
    <t>ORD-2074</t>
  </si>
  <si>
    <t>ORD-1996</t>
  </si>
  <si>
    <t>ORD-1973</t>
  </si>
  <si>
    <t>ORD-1535</t>
  </si>
  <si>
    <t>ORD-1918</t>
  </si>
  <si>
    <t>ORD-1480</t>
  </si>
  <si>
    <t>ORD-1633</t>
  </si>
  <si>
    <t>ORD-1605</t>
  </si>
  <si>
    <t>ORD-1628</t>
  </si>
  <si>
    <t>ORD-1408</t>
  </si>
  <si>
    <t>ORD-2138</t>
  </si>
  <si>
    <t>ORD-2134</t>
  </si>
  <si>
    <t>ORD-1554</t>
  </si>
  <si>
    <t>ORD-1457</t>
  </si>
  <si>
    <t>ORD-1001</t>
  </si>
  <si>
    <t>ORD-1288</t>
  </si>
  <si>
    <t>ORD-1230</t>
  </si>
  <si>
    <t>ORD-1088</t>
  </si>
  <si>
    <t>ORD-1306</t>
  </si>
  <si>
    <t>ORD-1379</t>
  </si>
  <si>
    <t>ORD-1402</t>
  </si>
  <si>
    <t>ORD-1013</t>
  </si>
  <si>
    <t>ORD-1075</t>
  </si>
  <si>
    <t>ORD-1094</t>
  </si>
  <si>
    <t>ORD-2082</t>
  </si>
  <si>
    <t>ORD-1432</t>
  </si>
  <si>
    <t>ORD-1399</t>
  </si>
  <si>
    <t>ORD-1443</t>
  </si>
  <si>
    <t>ORD-1446</t>
  </si>
  <si>
    <t>ORD-1047</t>
  </si>
  <si>
    <t>ORD-1339</t>
  </si>
  <si>
    <t>ORD-1076</t>
  </si>
  <si>
    <t>ORD-1961</t>
  </si>
  <si>
    <t>ORD-1734</t>
  </si>
  <si>
    <t>ORD-1690</t>
  </si>
  <si>
    <t>ORD-2040</t>
  </si>
  <si>
    <t>ORD-2096</t>
  </si>
  <si>
    <t>ORD-1378</t>
  </si>
  <si>
    <t>ORD-1897</t>
  </si>
  <si>
    <t>ORD-1186</t>
  </si>
  <si>
    <t>ORD-1413</t>
  </si>
  <si>
    <t>ORD-2036</t>
  </si>
  <si>
    <t>ORD-1017</t>
  </si>
  <si>
    <t>ORD-1203</t>
  </si>
  <si>
    <t>ORD-1003</t>
  </si>
  <si>
    <t>ORD-1035</t>
  </si>
  <si>
    <t>ORD-2156</t>
  </si>
  <si>
    <t>ORD-1323</t>
  </si>
  <si>
    <t>ORD-2090</t>
  </si>
  <si>
    <t>ORD-1418</t>
  </si>
  <si>
    <t>ORD-1316</t>
  </si>
  <si>
    <t>ORD-2172</t>
  </si>
  <si>
    <t>ORD-2049</t>
  </si>
  <si>
    <t>ORD-1141</t>
  </si>
  <si>
    <t>ORD-1705</t>
  </si>
  <si>
    <t>ORD-1563</t>
  </si>
  <si>
    <t>ORD-1431</t>
  </si>
  <si>
    <t>ORD-1282</t>
  </si>
  <si>
    <t>ORD-1494</t>
  </si>
  <si>
    <t>ORD-2004</t>
  </si>
  <si>
    <t>ORD-1522</t>
  </si>
  <si>
    <t>ORD-1603</t>
  </si>
  <si>
    <t>ORD-1951</t>
  </si>
  <si>
    <t>ORD-1249</t>
  </si>
  <si>
    <t>ORD-1665</t>
  </si>
  <si>
    <t>ORD-1326</t>
  </si>
  <si>
    <t>ORD-1296</t>
  </si>
  <si>
    <t>ORD-1566</t>
  </si>
  <si>
    <t>ORD-1240</t>
  </si>
  <si>
    <t>ORD-1063</t>
  </si>
  <si>
    <t>ORD-1295</t>
  </si>
  <si>
    <t>ORD-1095</t>
  </si>
  <si>
    <t>ORD-1392</t>
  </si>
  <si>
    <t>ORD-1193</t>
  </si>
  <si>
    <t>ORD-1302</t>
  </si>
  <si>
    <t>ORD-1085</t>
  </si>
  <si>
    <t>ORD-1560</t>
  </si>
  <si>
    <t>ORD-1011</t>
  </si>
  <si>
    <t>ORD-1749</t>
  </si>
  <si>
    <t>ORD-1737</t>
  </si>
  <si>
    <t>ORD-2002</t>
  </si>
  <si>
    <t>ORD-1571</t>
  </si>
  <si>
    <t>ORD-2019</t>
  </si>
  <si>
    <t>ORD-2152</t>
  </si>
  <si>
    <t>ORD-1646</t>
  </si>
  <si>
    <t>ORD-1520</t>
  </si>
  <si>
    <t>ORD-1764</t>
  </si>
  <si>
    <t>ORD-1046</t>
  </si>
  <si>
    <t>ORD-1117</t>
  </si>
  <si>
    <t>ORD-1939</t>
  </si>
  <si>
    <t>ORD-1444</t>
  </si>
  <si>
    <t>ORD-1472</t>
  </si>
  <si>
    <t>ORD-1823</t>
  </si>
  <si>
    <t>ORD-2195</t>
  </si>
  <si>
    <t>ORD-2031</t>
  </si>
  <si>
    <t>ORD-1064</t>
  </si>
  <si>
    <t>ORD-1016</t>
  </si>
  <si>
    <t>ORD-1002</t>
  </si>
  <si>
    <t>ORD-1785</t>
  </si>
  <si>
    <t>ORD-1896</t>
  </si>
  <si>
    <t>ORD-2072</t>
  </si>
  <si>
    <t>ORD-1875</t>
  </si>
  <si>
    <t>ORD-2188</t>
  </si>
  <si>
    <t>ORD-1045</t>
  </si>
  <si>
    <t>ORD-1124</t>
  </si>
  <si>
    <t>ORD-1990</t>
  </si>
  <si>
    <t>ORD-1171</t>
  </si>
  <si>
    <t>ORD-1217</t>
  </si>
  <si>
    <t>ORD-2184</t>
  </si>
  <si>
    <t>ORD-1591</t>
  </si>
  <si>
    <t>ORD-1728</t>
  </si>
  <si>
    <t>ORD-2155</t>
  </si>
  <si>
    <t>ORD-1885</t>
  </si>
  <si>
    <t>ORD-1529</t>
  </si>
  <si>
    <t>ORD-1872</t>
  </si>
  <si>
    <t>ORD-1860</t>
  </si>
  <si>
    <t>ORD-1580</t>
  </si>
  <si>
    <t>ORD-2178</t>
  </si>
  <si>
    <t>ORD-2056</t>
  </si>
  <si>
    <t>ORD-2064</t>
  </si>
  <si>
    <t>ORD-1511</t>
  </si>
  <si>
    <t>ORD-1562</t>
  </si>
  <si>
    <t>ORD-1675</t>
  </si>
  <si>
    <t>ORD-1661</t>
  </si>
  <si>
    <t>ORD-1115</t>
  </si>
  <si>
    <t>ORD-1154</t>
  </si>
  <si>
    <t>ORD-1105</t>
  </si>
  <si>
    <t>ORD-2083</t>
  </si>
  <si>
    <t>ORD-1243</t>
  </si>
  <si>
    <t>ORD-1241</t>
  </si>
  <si>
    <t>ORD-1533</t>
  </si>
  <si>
    <t>ORD-1166</t>
  </si>
  <si>
    <t>ORD-1800</t>
  </si>
  <si>
    <t>ORD-1606</t>
  </si>
  <si>
    <t>ORD-1664</t>
  </si>
  <si>
    <t>ORD-2143</t>
  </si>
  <si>
    <t>ORD-1208</t>
  </si>
  <si>
    <t>ORD-1135</t>
  </si>
  <si>
    <t>ORD-2005</t>
  </si>
  <si>
    <t>ORD-1179</t>
  </si>
  <si>
    <t>ORD-1258</t>
  </si>
  <si>
    <t>ORD-1727</t>
  </si>
  <si>
    <t>ORD-1390</t>
  </si>
  <si>
    <t>ORD-1765</t>
  </si>
  <si>
    <t>ORD-1553</t>
  </si>
  <si>
    <t>ORD-1612</t>
  </si>
  <si>
    <t>ORD-1746</t>
  </si>
  <si>
    <t>ORD-2183</t>
  </si>
  <si>
    <t>ORD-1037</t>
  </si>
  <si>
    <t>ORD-2015</t>
  </si>
  <si>
    <t>ORD-1385</t>
  </si>
  <si>
    <t>ORD-2011</t>
  </si>
  <si>
    <t>ORD-1140</t>
  </si>
  <si>
    <t>ORD-1697</t>
  </si>
  <si>
    <t>ORD-1460</t>
  </si>
  <si>
    <t>ORD-1280</t>
  </si>
  <si>
    <t>ORD-1107</t>
  </si>
  <si>
    <t>ORD-1490</t>
  </si>
  <si>
    <t>ORD-1136</t>
  </si>
  <si>
    <t>ORD-2182</t>
  </si>
  <si>
    <t>ORD-2105</t>
  </si>
  <si>
    <t>ORD-1492</t>
  </si>
  <si>
    <t>ORD-1322</t>
  </si>
  <si>
    <t>ORD-1313</t>
  </si>
  <si>
    <t>ORD-1927</t>
  </si>
  <si>
    <t>ORD-1613</t>
  </si>
  <si>
    <t>ORD-1707</t>
  </si>
  <si>
    <t>ORD-2151</t>
  </si>
  <si>
    <t>ORD-1158</t>
  </si>
  <si>
    <t>ORD-2067</t>
  </si>
  <si>
    <t>ORD-1877</t>
  </si>
  <si>
    <t>ORD-1540</t>
  </si>
  <si>
    <t>ORD-2147</t>
  </si>
  <si>
    <t>ORD-1874</t>
  </si>
  <si>
    <t>ORD-1593</t>
  </si>
  <si>
    <t>ORD-1581</t>
  </si>
  <si>
    <t>ORD-1637</t>
  </si>
  <si>
    <t>ORD-1911</t>
  </si>
  <si>
    <t>ORD-1752</t>
  </si>
  <si>
    <t>ORD-1940</t>
  </si>
  <si>
    <t>ORD-1917</t>
  </si>
  <si>
    <t>ORD-1676</t>
  </si>
  <si>
    <t>ORD-1524</t>
  </si>
  <si>
    <t>ORD-1467</t>
  </si>
  <si>
    <t>ORD-1549</t>
  </si>
  <si>
    <t>ORD-1150</t>
  </si>
  <si>
    <t>ORD-2020</t>
  </si>
  <si>
    <t>ORD-1610</t>
  </si>
  <si>
    <t>ORD-1659</t>
  </si>
  <si>
    <t>ORD-1246</t>
  </si>
  <si>
    <t>ORD-2095</t>
  </si>
  <si>
    <t>ORD-1685</t>
  </si>
  <si>
    <t>ORD-1743</t>
  </si>
  <si>
    <t>ORD-1819</t>
  </si>
  <si>
    <t>ORD-1773</t>
  </si>
  <si>
    <t>ORD-1666</t>
  </si>
  <si>
    <t>ORD-1702</t>
  </si>
  <si>
    <t>ORD-1657</t>
  </si>
  <si>
    <t>ORD-2157</t>
  </si>
  <si>
    <t>ORD-2039</t>
  </si>
  <si>
    <t>ORD-1565</t>
  </si>
  <si>
    <t>ORD-1803</t>
  </si>
  <si>
    <t>ORD-1721</t>
  </si>
  <si>
    <t>ORD-2103</t>
  </si>
  <si>
    <t>ORD-1634</t>
  </si>
  <si>
    <t>ORD-1617</t>
  </si>
  <si>
    <t>ORD-1933</t>
  </si>
  <si>
    <t>ORD-1067</t>
  </si>
  <si>
    <t>ORD-1704</t>
  </si>
  <si>
    <t>ORD-2010</t>
  </si>
  <si>
    <t>ORD-1547</t>
  </si>
  <si>
    <t>ORD-1936</t>
  </si>
  <si>
    <t>ORD-1215</t>
  </si>
  <si>
    <t>ORD-1544</t>
  </si>
  <si>
    <t>ORD-1845</t>
  </si>
  <si>
    <t>ORD-1054</t>
  </si>
  <si>
    <t>ORD-1437</t>
  </si>
  <si>
    <t>ORD-1268</t>
  </si>
  <si>
    <t>ORD-2109</t>
  </si>
  <si>
    <t>ORD-1368</t>
  </si>
  <si>
    <t>ORD-1686</t>
  </si>
  <si>
    <t>ORD-2044</t>
  </si>
  <si>
    <t>ORD-1999</t>
  </si>
  <si>
    <t>ORD-1285</t>
  </si>
  <si>
    <t>ORD-1176</t>
  </si>
  <si>
    <t>ORD-1353</t>
  </si>
  <si>
    <t>ORD-1435</t>
  </si>
  <si>
    <t>ORD-2170</t>
  </si>
  <si>
    <t>ORD-1924</t>
  </si>
  <si>
    <t>ORD-1526</t>
  </si>
  <si>
    <t>ORD-1293</t>
  </si>
  <si>
    <t>ORD-1517</t>
  </si>
  <si>
    <t>ORD-1485</t>
  </si>
  <si>
    <t>ORD-1451</t>
  </si>
  <si>
    <t>ORD-1405</t>
  </si>
  <si>
    <t>ORD-1732</t>
  </si>
  <si>
    <t>ORD-1070</t>
  </si>
  <si>
    <t>ORD-1527</t>
  </si>
  <si>
    <t>ORD-1106</t>
  </si>
  <si>
    <t>ORD-1758</t>
  </si>
  <si>
    <t>ORD-1649</t>
  </si>
  <si>
    <t>ORD-1806</t>
  </si>
  <si>
    <t>ORD-1716</t>
  </si>
  <si>
    <t>ORD-2141</t>
  </si>
  <si>
    <t>ORD-1878</t>
  </si>
  <si>
    <t>ORD-1036</t>
  </si>
  <si>
    <t>ORD-1930</t>
  </si>
  <si>
    <t>ORD-1998</t>
  </si>
  <si>
    <t>ORD-1908</t>
  </si>
  <si>
    <t>ORD-1868</t>
  </si>
  <si>
    <t>ORD-1338</t>
  </si>
  <si>
    <t>ORD-1234</t>
  </si>
  <si>
    <t>ORD-2199</t>
  </si>
  <si>
    <t>ORD-1273</t>
  </si>
  <si>
    <t>ORD-1148</t>
  </si>
  <si>
    <t>ORD-1849</t>
  </si>
  <si>
    <t>ORD-2014</t>
  </si>
  <si>
    <t>ORD-1558</t>
  </si>
  <si>
    <t>ORD-1736</t>
  </si>
  <si>
    <t>ORD-2013</t>
  </si>
  <si>
    <t>ORD-1235</t>
  </si>
  <si>
    <t>ORD-2060</t>
  </si>
  <si>
    <t>ORD-1623</t>
  </si>
  <si>
    <t>ORD-1395</t>
  </si>
  <si>
    <t>ORD-1033</t>
  </si>
  <si>
    <t>ORD-1199</t>
  </si>
  <si>
    <t>ORD-1650</t>
  </si>
  <si>
    <t>ORD-1931</t>
  </si>
  <si>
    <t>ORD-2045</t>
  </si>
  <si>
    <t>ORD-2061</t>
  </si>
  <si>
    <t>ORD-1042</t>
  </si>
  <si>
    <t>ORD-1846</t>
  </si>
  <si>
    <t>ORD-1252</t>
  </si>
  <si>
    <t>ORD-1396</t>
  </si>
  <si>
    <t>ORD-1802</t>
  </si>
  <si>
    <t>ORD-1621</t>
  </si>
  <si>
    <t>ORD-1068</t>
  </si>
  <si>
    <t>ORD-2130</t>
  </si>
  <si>
    <t>ORD-1820</t>
  </si>
  <si>
    <t>ORD-1062</t>
  </si>
  <si>
    <t>ORD-1555</t>
  </si>
  <si>
    <t>ORD-2197</t>
  </si>
  <si>
    <t>ORD-2065</t>
  </si>
  <si>
    <t>ORD-1731</t>
  </si>
  <si>
    <t>ORD-2075</t>
  </si>
  <si>
    <t>ORD-1486</t>
  </si>
  <si>
    <t>ORD-1919</t>
  </si>
  <si>
    <t>ORD-1074</t>
  </si>
  <si>
    <t>ORD-1839</t>
  </si>
  <si>
    <t>ORD-1946</t>
  </si>
  <si>
    <t>ORD-1701</t>
  </si>
  <si>
    <t>ORD-1388</t>
  </si>
  <si>
    <t>ORD-1551</t>
  </si>
  <si>
    <t>ORD-1568</t>
  </si>
  <si>
    <t>ORD-1852</t>
  </si>
  <si>
    <t>ORD-1888</t>
  </si>
  <si>
    <t>ORD-1196</t>
  </si>
  <si>
    <t>ORD-1031</t>
  </si>
  <si>
    <t>ORD-1173</t>
  </si>
  <si>
    <t>ORD-1501</t>
  </si>
  <si>
    <t>ORD-1170</t>
  </si>
  <si>
    <t>ORD-1760</t>
  </si>
  <si>
    <t>ORD-1694</t>
  </si>
  <si>
    <t>ORD-1656</t>
  </si>
  <si>
    <t>ORD-1660</t>
  </si>
  <si>
    <t>ORD-1300</t>
  </si>
  <si>
    <t>ORD-1680</t>
  </si>
  <si>
    <t>ORD-1248</t>
  </si>
  <si>
    <t>ORD-1211</t>
  </si>
  <si>
    <t>ORD-1782</t>
  </si>
  <si>
    <t>ORD-1407</t>
  </si>
  <si>
    <t>ORD-1792</t>
  </si>
  <si>
    <t>ORD-2123</t>
  </si>
  <si>
    <t>ORD-1448</t>
  </si>
  <si>
    <t>ORD-1461</t>
  </si>
  <si>
    <t>ORD-1086</t>
  </si>
  <si>
    <t>ORD-1835</t>
  </si>
  <si>
    <t>ORD-1751</t>
  </si>
  <si>
    <t>ORD-1635</t>
  </si>
  <si>
    <t>ORD-1962</t>
  </si>
  <si>
    <t>ORD-1698</t>
  </si>
  <si>
    <t>ORD-1503</t>
  </si>
  <si>
    <t>ORD-1748</t>
  </si>
  <si>
    <t>ORD-2025</t>
  </si>
  <si>
    <t>ORD-1783</t>
  </si>
  <si>
    <t>ORD-1550</t>
  </si>
  <si>
    <t>ORD-1788</t>
  </si>
  <si>
    <t>ORD-1995</t>
  </si>
  <si>
    <t>ORD-1458</t>
  </si>
  <si>
    <t>ORD-1730</t>
  </si>
  <si>
    <t>ORD-1957</t>
  </si>
  <si>
    <t>ORD-1157</t>
  </si>
  <si>
    <t>ORD-1198</t>
  </si>
  <si>
    <t>ORD-2001</t>
  </si>
  <si>
    <t>ORD-1143</t>
  </si>
  <si>
    <t>ORD-2160</t>
  </si>
  <si>
    <t>ORD-1078</t>
  </si>
  <si>
    <t>ORD-2177</t>
  </si>
  <si>
    <t>ORD-1201</t>
  </si>
  <si>
    <t>ORD-2142</t>
  </si>
  <si>
    <t>ORD-1149</t>
  </si>
  <si>
    <t>ORD-1757</t>
  </si>
  <si>
    <t>ORD-1346</t>
  </si>
  <si>
    <t>ORD-1478</t>
  </si>
  <si>
    <t>ORD-1667</t>
  </si>
  <si>
    <t>ORD-1292</t>
  </si>
  <si>
    <t>ORD-1376</t>
  </si>
  <si>
    <t>ORD-1668</t>
  </si>
  <si>
    <t>ORD-1312</t>
  </si>
  <si>
    <t>ORD-1260</t>
  </si>
  <si>
    <t>ORD-1439</t>
  </si>
  <si>
    <t>ORD-1967</t>
  </si>
  <si>
    <t>ORD-1692</t>
  </si>
  <si>
    <t>ORD-1032</t>
  </si>
  <si>
    <t>ORD-1048</t>
  </si>
  <si>
    <t>ORD-1274</t>
  </si>
  <si>
    <t>ORD-1972</t>
  </si>
  <si>
    <t>ORD-2128</t>
  </si>
  <si>
    <t>ORD-2146</t>
  </si>
  <si>
    <t>ORD-1816</t>
  </si>
  <si>
    <t>ORD-2089</t>
  </si>
  <si>
    <t>ORD-1259</t>
  </si>
  <si>
    <t>ORD-1899</t>
  </si>
  <si>
    <t>ORD-1515</t>
  </si>
  <si>
    <t>ORD-1238</t>
  </si>
  <si>
    <t>ORD-1769</t>
  </si>
  <si>
    <t>ORD-1711</t>
  </si>
  <si>
    <t>ORD-1570</t>
  </si>
  <si>
    <t>ORD-1687</t>
  </si>
  <si>
    <t>ORD-2176</t>
  </si>
  <si>
    <t>ORD-1130</t>
  </si>
  <si>
    <t>ORD-1317</t>
  </si>
  <si>
    <t>ORD-2092</t>
  </si>
  <si>
    <t>ORD-1754</t>
  </si>
  <si>
    <t>ORD-1345</t>
  </si>
  <si>
    <t>ORD-1944</t>
  </si>
  <si>
    <t>ORD-1098</t>
  </si>
  <si>
    <t>ORD-1790</t>
  </si>
  <si>
    <t>ORD-1708</t>
  </si>
  <si>
    <t>ORD-1880</t>
  </si>
  <si>
    <t>ORD-1466</t>
  </si>
  <si>
    <t>ORD-1700</t>
  </si>
  <si>
    <t>ORD-1980</t>
  </si>
  <si>
    <t>ORD-2099</t>
  </si>
  <si>
    <t>ORD-2069</t>
  </si>
  <si>
    <t>ORD-1417</t>
  </si>
  <si>
    <t>ORD-2098</t>
  </si>
  <si>
    <t>ORD-1337</t>
  </si>
  <si>
    <t>ORD-1227</t>
  </si>
  <si>
    <t>ORD-1301</t>
  </si>
  <si>
    <t>ORD-1155</t>
  </si>
  <si>
    <t>ORD-2116</t>
  </si>
  <si>
    <t>ORD-1336</t>
  </si>
  <si>
    <t>ORD-1538</t>
  </si>
  <si>
    <t>ORD-1836</t>
  </si>
  <si>
    <t>ORD-2190</t>
  </si>
  <si>
    <t>ORD-1913</t>
  </si>
  <si>
    <t>ORD-1559</t>
  </si>
  <si>
    <t>ORD-1027</t>
  </si>
  <si>
    <t>ORD-1909</t>
  </si>
  <si>
    <t>ORD-1733</t>
  </si>
  <si>
    <t>ORD-1354</t>
  </si>
  <si>
    <t>ORD-1162</t>
  </si>
  <si>
    <t>ORD-1401</t>
  </si>
  <si>
    <t>ORD-1261</t>
  </si>
  <si>
    <t>ORD-2012</t>
  </si>
  <si>
    <t>ORD-1985</t>
  </si>
  <si>
    <t>ORD-1811</t>
  </si>
  <si>
    <t>ORD-2057</t>
  </si>
  <si>
    <t>ORD-2179</t>
  </si>
  <si>
    <t>ORD-1221</t>
  </si>
  <si>
    <t>ORD-1030</t>
  </si>
  <si>
    <t>ORD-1012</t>
  </si>
  <si>
    <t>ORD-1122</t>
  </si>
  <si>
    <t>ORD-1795</t>
  </si>
  <si>
    <t>ORD-2058</t>
  </si>
  <si>
    <t>ORD-1514</t>
  </si>
  <si>
    <t>ORD-2030</t>
  </si>
  <si>
    <t>ORD-1189</t>
  </si>
  <si>
    <t>ORD-2165</t>
  </si>
  <si>
    <t>ORD-1575</t>
  </si>
  <si>
    <t>ORD-1362</t>
  </si>
  <si>
    <t>ORD-1161</t>
  </si>
  <si>
    <t>ORD-1212</t>
  </si>
  <si>
    <t>ORD-1056</t>
  </si>
  <si>
    <t>ORD-1799</t>
  </si>
  <si>
    <t>ORD-1137</t>
  </si>
  <si>
    <t>ORD-1647</t>
  </si>
  <si>
    <t>ORD-1275</t>
  </si>
  <si>
    <t>ORD-1821</t>
  </si>
  <si>
    <t>ORD-2132</t>
  </si>
  <si>
    <t>ORD-1970</t>
  </si>
  <si>
    <t>ORD-1979</t>
  </si>
  <si>
    <t>ORD-1876</t>
  </si>
  <si>
    <t>ORD-1925</t>
  </si>
  <si>
    <t>ORD-1370</t>
  </si>
  <si>
    <t>ORD-1602</t>
  </si>
  <si>
    <t>ORD-1311</t>
  </si>
  <si>
    <t>ORD-1358</t>
  </si>
  <si>
    <t>ORD-1242</t>
  </si>
  <si>
    <t>ORD-1382</t>
  </si>
  <si>
    <t>ORD-1328</t>
  </si>
  <si>
    <t>ORD-1871</t>
  </si>
  <si>
    <t>ORD-1018</t>
  </si>
  <si>
    <t>ORD-1109</t>
  </si>
  <si>
    <t>ORD-1468</t>
  </si>
  <si>
    <t>ORD-1710</t>
  </si>
  <si>
    <t>ORD-1684</t>
  </si>
  <si>
    <t>ORD-1812</t>
  </si>
  <si>
    <t>ORD-1222</t>
  </si>
  <si>
    <t>ORD-1110</t>
  </si>
  <si>
    <t>ORD-1592</t>
  </si>
  <si>
    <t>ORD-1689</t>
  </si>
  <si>
    <t>ORD-1857</t>
  </si>
  <si>
    <t>ORD-1377</t>
  </si>
  <si>
    <t>ORD-2115</t>
  </si>
  <si>
    <t>ORD-1828</t>
  </si>
  <si>
    <t>ORD-1528</t>
  </si>
  <si>
    <t>ORD-1756</t>
  </si>
  <si>
    <t>ORD-1496</t>
  </si>
  <si>
    <t>ORD-1267</t>
  </si>
  <si>
    <t>ORD-1870</t>
  </si>
  <si>
    <t>ORD-2124</t>
  </si>
  <si>
    <t>ORD-1393</t>
  </si>
  <si>
    <t>ORD-1452</t>
  </si>
  <si>
    <t>ORD-1653</t>
  </si>
  <si>
    <t>ORD-1631</t>
  </si>
  <si>
    <t>ORD-1922</t>
  </si>
  <si>
    <t>ORD-1059</t>
  </si>
  <si>
    <t>ORD-2100</t>
  </si>
  <si>
    <t>ORD-2196</t>
  </si>
  <si>
    <t>ORD-1907</t>
  </si>
  <si>
    <t>ORD-2003</t>
  </si>
  <si>
    <t>ORD-1745</t>
  </si>
  <si>
    <t>ORD-1867</t>
  </si>
  <si>
    <t>ORD-1644</t>
  </si>
  <si>
    <t>ORD-1636</t>
  </si>
  <si>
    <t>ORD-1029</t>
  </si>
  <si>
    <t>ORD-1331</t>
  </si>
  <si>
    <t>ORD-1536</t>
  </si>
  <si>
    <t>ORD-1892</t>
  </si>
  <si>
    <t>ORD-1669</t>
  </si>
  <si>
    <t>ORD-1102</t>
  </si>
  <si>
    <t>ORD-1840</t>
  </si>
  <si>
    <t>ORD-2018</t>
  </si>
  <si>
    <t>ORD-1883</t>
  </si>
  <si>
    <t>ORD-1890</t>
  </si>
  <si>
    <t>ORD-2140</t>
  </si>
  <si>
    <t>ORD-1561</t>
  </si>
  <si>
    <t>ORD-1768</t>
  </si>
  <si>
    <t>ORD-1770</t>
  </si>
  <si>
    <t>ORD-1600</t>
  </si>
  <si>
    <t>ORD-1096</t>
  </si>
  <si>
    <t>ORD-1366</t>
  </si>
  <si>
    <t>ORD-1512</t>
  </si>
  <si>
    <t>ORD-2086</t>
  </si>
  <si>
    <t>ORD-1611</t>
  </si>
  <si>
    <t>ORD-1278</t>
  </si>
  <si>
    <t>ORD-1616</t>
  </si>
  <si>
    <t>ORD-1050</t>
  </si>
  <si>
    <t>ORD-2193</t>
  </si>
  <si>
    <t>ORD-1015</t>
  </si>
  <si>
    <t>ORD-1994</t>
  </si>
  <si>
    <t>ORD-1776</t>
  </si>
  <si>
    <t>ORD-1114</t>
  </si>
  <si>
    <t>ORD-1762</t>
  </si>
  <si>
    <t>ORD-1671</t>
  </si>
  <si>
    <t>ORD-1532</t>
  </si>
  <si>
    <t>ORD-2054</t>
  </si>
  <si>
    <t>ORD-1204</t>
  </si>
  <si>
    <t>ORD-1257</t>
  </si>
  <si>
    <t>ORD-1841</t>
  </si>
  <si>
    <t>ORD-1643</t>
  </si>
  <si>
    <t>ORD-1862</t>
  </si>
  <si>
    <t>ORD-1424</t>
  </si>
  <si>
    <t>ORD-1808</t>
  </si>
  <si>
    <t>ORD-2137</t>
  </si>
  <si>
    <t>ORD-2101</t>
  </si>
  <si>
    <t>ORD-1465</t>
  </si>
  <si>
    <t>ORD-1126</t>
  </si>
  <si>
    <t>ORD-1865</t>
  </si>
  <si>
    <t>ORD-1160</t>
  </si>
  <si>
    <t>ORD-1971</t>
  </si>
  <si>
    <t>ORD-1144</t>
  </si>
  <si>
    <t>ORD-1232</t>
  </si>
  <si>
    <t>ORD-1719</t>
  </si>
  <si>
    <t>ORD-1091</t>
  </si>
  <si>
    <t>ORD-1781</t>
  </si>
  <si>
    <t>ORD-1504</t>
  </si>
  <si>
    <t>ORD-1739</t>
  </si>
  <si>
    <t>ORD-1978</t>
  </si>
  <si>
    <t>ORD-1119</t>
  </si>
  <si>
    <t>ORD-1369</t>
  </si>
  <si>
    <t>ORD-1254</t>
  </si>
  <si>
    <t>ORD-1226</t>
  </si>
  <si>
    <t>ORD-1100</t>
  </si>
  <si>
    <t>ORD-1642</t>
  </si>
  <si>
    <t>ORD-1534</t>
  </si>
  <si>
    <t>ORD-1696</t>
  </si>
  <si>
    <t>ORD-1670</t>
  </si>
  <si>
    <t>ORD-1184</t>
  </si>
  <si>
    <t>ORD-1639</t>
  </si>
  <si>
    <t>ORD-2161</t>
  </si>
  <si>
    <t>ORD-1780</t>
  </si>
  <si>
    <t>ORD-2037</t>
  </si>
  <si>
    <t>ORD-1638</t>
  </si>
  <si>
    <t>ORD-1901</t>
  </si>
  <si>
    <t>ORD-2125</t>
  </si>
  <si>
    <t>ORD-1810</t>
  </si>
  <si>
    <t>ORD-2191</t>
  </si>
  <si>
    <t>ORD-1509</t>
  </si>
  <si>
    <t>ORD-2102</t>
  </si>
  <si>
    <t>ORD-1864</t>
  </si>
  <si>
    <t>ORD-2118</t>
  </si>
  <si>
    <t>ORD-1542</t>
  </si>
  <si>
    <t>ORD-1771</t>
  </si>
  <si>
    <t>ORD-1807</t>
  </si>
  <si>
    <t>Unknown</t>
  </si>
  <si>
    <t>SKU_Code</t>
  </si>
  <si>
    <t>Revenue</t>
  </si>
  <si>
    <t>Colour</t>
  </si>
  <si>
    <t>Size_Code</t>
  </si>
  <si>
    <t>Cost_IRR</t>
  </si>
  <si>
    <t>RRP_IRR</t>
  </si>
  <si>
    <t>Vendor_Name</t>
  </si>
  <si>
    <t>Item_Status</t>
  </si>
  <si>
    <t>Beige</t>
  </si>
  <si>
    <t>Tejarat Pars Co.</t>
  </si>
  <si>
    <t>Active</t>
  </si>
  <si>
    <t>Pink</t>
  </si>
  <si>
    <t>Arya Textile</t>
  </si>
  <si>
    <t>Olive</t>
  </si>
  <si>
    <t>Red</t>
  </si>
  <si>
    <t>Inactive</t>
  </si>
  <si>
    <t>Blue</t>
  </si>
  <si>
    <t>Burgundy</t>
  </si>
  <si>
    <t>Kian Knit Factory</t>
  </si>
  <si>
    <t>Brown</t>
  </si>
  <si>
    <t>White</t>
  </si>
  <si>
    <t>sweatshirts</t>
  </si>
  <si>
    <t>Grey</t>
  </si>
  <si>
    <t>Saba Fashion</t>
  </si>
  <si>
    <t>shirts</t>
  </si>
  <si>
    <t>Sage</t>
  </si>
  <si>
    <t>Orange</t>
  </si>
  <si>
    <t>Green</t>
  </si>
  <si>
    <t>Multi</t>
  </si>
  <si>
    <t>Black</t>
  </si>
  <si>
    <t>Magenta</t>
  </si>
  <si>
    <t>Khaki</t>
  </si>
  <si>
    <t>Rust</t>
  </si>
  <si>
    <t>active</t>
  </si>
  <si>
    <t>Navy</t>
  </si>
  <si>
    <t>Ordered_Qty</t>
  </si>
  <si>
    <t>Received_Qty</t>
  </si>
  <si>
    <t>Receipt_Date</t>
  </si>
  <si>
    <t>Units_On_Hand</t>
  </si>
  <si>
    <t>Reorder_Lvl</t>
  </si>
  <si>
    <t>Storage_Location</t>
  </si>
  <si>
    <t>Notes</t>
  </si>
  <si>
    <t>Warehouse A</t>
  </si>
  <si>
    <t>Slow mover</t>
  </si>
  <si>
    <t>Check with supplier</t>
  </si>
  <si>
    <t>Storage_Location missing — stock on hand confirmed — physical location unknown — exclude from pick efficiency analysis</t>
  </si>
  <si>
    <t>End of season</t>
  </si>
  <si>
    <t>Warehouse B</t>
  </si>
  <si>
    <t>Check with supplier-Units_On_Hand missing — received 2022, report Jan 2024 — 12+ months of sales unaccounted for — exclude from stock calculations</t>
  </si>
  <si>
    <t>Slow mover.Storage_Location missing — stock on hand confirmed — physical location unknown — exclude from pick efficiency analysis</t>
  </si>
  <si>
    <t>Receipt date missing — units on hand confirm goods received</t>
  </si>
  <si>
    <t>Partial receipt — 13 units short from supplier. Units_On_Hand missing — received 2022, report Jan 2024 — 12+ months of sales unaccounted for — exclude from stock calculations</t>
  </si>
  <si>
    <t>Partial receipt — 11 units short from supplier</t>
  </si>
  <si>
    <t>Slow mover-Receipt date missing — units on hand confirm goods received</t>
  </si>
  <si>
    <t>Reorder ASAP.Storage_Location missing — stock on hand confirmed — physical location unknown — exclude from pick efficiency analysis</t>
  </si>
  <si>
    <t>End of season.Storage_Location missing — stock on hand confirmed — physical location unknown — exclude from pick efficiency analysis</t>
  </si>
  <si>
    <t>Check with supplier. Units_On_Hand missing — received 2022, report Jan 2024 — 12+ months of sales unaccounted for — exclude from stock calculations.Storage_Location missing — stock on hand confirmed — physical location unknown — exclude from pick efficiency analysis.Units_On_Hand missing — received 2022, report Jan 2024 — 12+ months of sales unaccounted for — Reorder_Level missing — exclude from stock calculations and replenishment planning</t>
  </si>
  <si>
    <t>Units_On_Hand missing — received 2022, report Jan 2024 — 12+ months of sales unaccounted for — exclude from stock calculations</t>
  </si>
  <si>
    <t>#</t>
  </si>
  <si>
    <t>Chapter</t>
  </si>
  <si>
    <t>What I Found</t>
  </si>
  <si>
    <t>Why It Happened</t>
  </si>
  <si>
    <t>Action Taken</t>
  </si>
  <si>
    <t>26 rows had Qty = 0</t>
  </si>
  <si>
    <t>Incomplete or cancelled entries with no business value</t>
  </si>
  <si>
    <t>Deleted from CLEAN_Sales</t>
  </si>
  <si>
    <t>Negative Qty rows exist</t>
  </si>
  <si>
    <t>Customer returns logged as negative transactions</t>
  </si>
  <si>
    <t>Kept — they represent real return transactions, reduce net sales correctly</t>
  </si>
  <si>
    <t>10 rows had Product Name = 0 or blank</t>
  </si>
  <si>
    <t>Original POS data entered 0 instead of product name</t>
  </si>
  <si>
    <t>Fixed using XLOOKUP from CLEAN_Products on SKU_Code</t>
  </si>
  <si>
    <t>SKU_Code had 3 different delimiters in CLEAN_Products</t>
  </si>
  <si>
    <t>Inconsistent data entry at source (dash, dot, space)</t>
  </si>
  <si>
    <t>Fixed using Find &amp; Replace — standardized all to dash</t>
  </si>
  <si>
    <t>Category blanks in CLEAN_Sales</t>
  </si>
  <si>
    <t>Sales POS didn't always capture category</t>
  </si>
  <si>
    <t>CLEAN_Inventory had 2 junk rows at top and 3 footer rows at bottom</t>
  </si>
  <si>
    <t>WMS system exports include auto-generated header and summary footer rows</t>
  </si>
  <si>
    <t>Removed all junk rows. Used footer row count (40 SKUs) as sanity check</t>
  </si>
  <si>
    <t>Lowercase SKU codes in Inventory (prd-012, prd-024)</t>
  </si>
  <si>
    <t>Manual data entry in WMS did not enforce uppercase formatting</t>
  </si>
  <si>
    <t>Fixed using UPPER() formula, then Paste Special — Values Only</t>
  </si>
  <si>
    <t>Mixed date formats in Inventory Receipt_Date (3 formats)</t>
  </si>
  <si>
    <t>Data entered across different time periods with no enforced date format</t>
  </si>
  <si>
    <t>Standardized to DD/MM/YYYY using nested IF + DATE() formula in helper column Receipt_Date_Clean</t>
  </si>
  <si>
    <t>5 rows missing Receipt_Date in Inventory</t>
  </si>
  <si>
    <t>Shipments received without date being logged in WMS at time of receipt</t>
  </si>
  <si>
    <t>Flagged in Notes column. SKUs 017, 022, 026, 027, 039 excluded from lead time calculations</t>
  </si>
  <si>
    <t>4 rows missing Units_On_Hand in Inventory</t>
  </si>
  <si>
    <t>Items received in 2022 — 12+ months of unknown sales made current stock unverifiable</t>
  </si>
  <si>
    <t>Left blank — never fabricate stock. SKUs 008, 019, 031, 033 excluded from Days of Supply and ROP</t>
  </si>
  <si>
    <t>10 rows missing Storage_Location in Inventory</t>
  </si>
  <si>
    <t>Items physically in stock but never assigned a bin location — operational gap, not just a data gap</t>
  </si>
  <si>
    <t>Flagged in Notes. SKUs 004,014,020,023,025,028,029,030,031,040 excluded from pick efficiency analysis</t>
  </si>
  <si>
    <t>PRD-031 had 3 critical fields all missing (Units_On_Hand, Storage_Location, Reorder_Level)</t>
  </si>
  <si>
    <t>SKU likely never properly onboarded into WMS — incomplete record from the start</t>
  </si>
  <si>
    <t>Excluded PRD-031 from ALL calculations — too unreliable for any analysis</t>
  </si>
  <si>
    <t>Item_Status casing inconsistent in CLEAN_Products (Active vs ACTIVE)</t>
  </si>
  <si>
    <t>ERP records updated by different users with no enforced casing rule</t>
  </si>
  <si>
    <t>Fixed using PROPER() / UPPER() formula, then Paste Special — Values Only in Item_Status column</t>
  </si>
  <si>
    <t>Created_Date and Last_Modified columns dropped from CLEAN_Products</t>
  </si>
  <si>
    <t>System metadata not needed for retail analytics — added clutter and confusion risk</t>
  </si>
  <si>
    <t>Deleted both columns. Kept only analysis-relevant fields</t>
  </si>
  <si>
    <t>Join keys mismatched across all 3 files (ProductID, Item_Code, SKU_Code)</t>
  </si>
  <si>
    <t>Each source system (POS, ERP, WMS) used its own internal naming for the product key</t>
  </si>
  <si>
    <t>Renamed ProductID (Sales) and Item_Code (Products) to SKU_Code — all 3 files now joinable on one unified key</t>
  </si>
  <si>
    <t>PRD-019 partial receipt — 66 of 79 units received from supplier</t>
  </si>
  <si>
    <t>Supplier shipped short — 13 units never arrived, possibly back-ordered or lost in transit</t>
  </si>
  <si>
    <t>Noted in Notes column. Used actual received qty (66) in all calculations, never the ordered qty (79)</t>
  </si>
  <si>
    <t>Row Labels</t>
  </si>
  <si>
    <t>Grand Total</t>
  </si>
  <si>
    <t>Sum of Revenue</t>
  </si>
  <si>
    <t>Jan</t>
  </si>
  <si>
    <t>Feb</t>
  </si>
  <si>
    <t>Mar</t>
  </si>
  <si>
    <t>Apr</t>
  </si>
  <si>
    <t>May</t>
  </si>
  <si>
    <t>Jun</t>
  </si>
  <si>
    <t>Jul</t>
  </si>
  <si>
    <t>Aug</t>
  </si>
  <si>
    <t>Sep</t>
  </si>
  <si>
    <t>Oct</t>
  </si>
  <si>
    <t>Nov</t>
  </si>
  <si>
    <t>Dec</t>
  </si>
  <si>
    <t>Count of Order_ID</t>
  </si>
  <si>
    <t>Sum of Qty</t>
  </si>
  <si>
    <t>Monthly Sales Summary — Tankhoone Fashion Retail 2023</t>
  </si>
  <si>
    <t>6 rows had 0 in Category due to ghost blank cell causing column shift.</t>
  </si>
  <si>
    <t xml:space="preserve"> Fixed manually after verifying against CLEAN_Products.</t>
  </si>
  <si>
    <t>Sales by Categories</t>
  </si>
  <si>
    <r>
      <rPr>
        <b/>
        <sz val="24"/>
        <color theme="5"/>
        <rFont val="Arial"/>
        <family val="2"/>
      </rPr>
      <t>Sales</t>
    </r>
    <r>
      <rPr>
        <sz val="24"/>
        <color theme="5"/>
        <rFont val="Arial"/>
        <family val="2"/>
      </rPr>
      <t xml:space="preserve"> </t>
    </r>
    <r>
      <rPr>
        <b/>
        <sz val="24"/>
        <color theme="5"/>
        <rFont val="Arial"/>
        <family val="2"/>
      </rPr>
      <t>by Channel</t>
    </r>
  </si>
  <si>
    <t>Top 10 SKUs by Revenue</t>
  </si>
  <si>
    <t>Column Labels</t>
  </si>
  <si>
    <t>Average Monthly Qty</t>
  </si>
  <si>
    <t>Std Dev</t>
  </si>
  <si>
    <t>CV</t>
  </si>
  <si>
    <t>CV Flag</t>
  </si>
  <si>
    <t>Excluded — insufficient data</t>
  </si>
  <si>
    <t>Lower case</t>
  </si>
  <si>
    <r>
      <t xml:space="preserve">In CLEAN_Products, standardize PRD-019 category to </t>
    </r>
    <r>
      <rPr>
        <sz val="10"/>
        <color theme="1"/>
        <rFont val="Arial Unicode MS"/>
      </rPr>
      <t>Shirts</t>
    </r>
  </si>
  <si>
    <t>Avg CV</t>
  </si>
  <si>
    <t>Count High</t>
  </si>
  <si>
    <t>Finding #1: Every category shows High volatility CV — demand is unpredictable across the entire assortment. Tehran fashion retail demand is inherently hard to forecast.
Finding #2: Co-ord Sets and Sweatshirts combine highest revenue with highest count of volatile SKUs — priority candidates for safety stock in Chapter 5.</t>
  </si>
  <si>
    <t>chapter4 d- demand analysis</t>
  </si>
  <si>
    <t>Co-ord Sets and Sweatshirts are both your highest revenue categories AND your most volatile — that's a critical risk finding. High revenue + high volatility = stockout risk if you don't build safety stock buffers. Skirts and Bottoms being stable makes sense — they're your lowest revenue categories too.</t>
  </si>
  <si>
    <t>Skill</t>
  </si>
  <si>
    <t>Where Used</t>
  </si>
  <si>
    <t>PivotTable from CLEAN_Sales</t>
  </si>
  <si>
    <t>Summarized 1,215 rows into monthly, category, channel, SKU views</t>
  </si>
  <si>
    <t>PivotChart — Clustered Column</t>
  </si>
  <si>
    <t>Built Monthly Revenue and Orders &amp; Qty charts</t>
  </si>
  <si>
    <t>PivotChart — Horizontal Bar</t>
  </si>
  <si>
    <t>Built Channel and Top 10 SKU charts</t>
  </si>
  <si>
    <t>PivotChart — Pie Chart</t>
  </si>
  <si>
    <t>Built Category revenue distribution chart</t>
  </si>
  <si>
    <t>Top 10 Value Filter in Pivot</t>
  </si>
  <si>
    <t>Filtered pivot to show only Top 10 SKUs by revenue</t>
  </si>
  <si>
    <t>Date Grouping in Pivot</t>
  </si>
  <si>
    <t>Grouped SaleDate by Month automatically</t>
  </si>
  <si>
    <t>TEXT() helper column</t>
  </si>
  <si>
    <t>Created Month column to avoid serial number display in pivot</t>
  </si>
  <si>
    <t>MONTH() formula</t>
  </si>
  <si>
    <t>Extracted month number for sorting</t>
  </si>
  <si>
    <t>Paste Special — Picture</t>
  </si>
  <si>
    <t>Converted live PivotChart to static image to lock series</t>
  </si>
  <si>
    <t>Manual cell fix</t>
  </si>
  <si>
    <t>Fixed 6 rows with ghost blank cell causing column shift</t>
  </si>
  <si>
    <t>Pivot cache refresh</t>
  </si>
  <si>
    <t>Refreshed pivot to clear old cached values after source data fix</t>
  </si>
  <si>
    <t>Analyst Notes logging</t>
  </si>
  <si>
    <t>Documented all findings with business reasoning</t>
  </si>
  <si>
    <t>XLOOKUP — basic lookup</t>
  </si>
  <si>
    <t>Fixed Product Name blanks using CLEAN_Products as reference</t>
  </si>
  <si>
    <t>XLOOKUP — with missing value handler</t>
  </si>
  <si>
    <t>Pulled Category into CH4_Demand, returning Missing for unmatched SKUs</t>
  </si>
  <si>
    <t>Find &amp; Replace</t>
  </si>
  <si>
    <t>Standardized SKU_Code delimiters across CLEAN_Sales</t>
  </si>
  <si>
    <t>STDEV formula</t>
  </si>
  <si>
    <t>Calculated standard deviation of monthly demand per SKU</t>
  </si>
  <si>
    <t>AVERAGE formula</t>
  </si>
  <si>
    <t>Calculated average monthly demand per SKU</t>
  </si>
  <si>
    <t>CV formula (STDEV/AVERAGE)</t>
  </si>
  <si>
    <t>Measured demand volatility per SKU in CH4_Demand</t>
  </si>
  <si>
    <t>IF / nested IF</t>
  </si>
  <si>
    <t>Built CV Flag column — High Moderate Stable classification</t>
  </si>
  <si>
    <t>AVERAGEIF with structured table references</t>
  </si>
  <si>
    <t>Calculated average CV per category in CH4_Demand</t>
  </si>
  <si>
    <t>COUNTIFS with multiple criteria</t>
  </si>
  <si>
    <t>Counted High volatility SKUs per category in CH4_Demand</t>
  </si>
  <si>
    <t>UNIQUE spill formula</t>
  </si>
  <si>
    <t>Auto-extracted category list for CV summary table</t>
  </si>
  <si>
    <t>Structured table references Table[Column]</t>
  </si>
  <si>
    <t>Referenced Table17 columns in AVERAGEIF and COUNTIFS formulas</t>
  </si>
  <si>
    <t>Paste Special — Values</t>
  </si>
  <si>
    <t>Converted pivot output to static values for stable formula calculations</t>
  </si>
  <si>
    <t>Slope</t>
  </si>
  <si>
    <t>Trend Flag</t>
  </si>
  <si>
    <t>chapter4 d- Trend analysis by SLOPE</t>
  </si>
  <si>
    <t>Linear trend analysis returned flat results across all SKUs due to seasonal demand patterns interfering with slope calculation in a 12-month window. Demand volatility (CV) is a more meaningful metric for this dataset than directional trend.</t>
  </si>
  <si>
    <t>3-month moving average not calculated due to insufficient data points per SKU and the seasonal nature of Tehran fashion demand. In a production environment, weekly Rate of Sale and Sell-Through Rate would replace this analysis</t>
  </si>
  <si>
    <t>Product_Name</t>
  </si>
  <si>
    <t>Avg_Monthly_Demand</t>
  </si>
  <si>
    <t>Avg_Daily_Demand</t>
  </si>
  <si>
    <t>Lead_Time_Days</t>
  </si>
  <si>
    <t>Safety_Stock</t>
  </si>
  <si>
    <t>ROP</t>
  </si>
  <si>
    <t>Days_of_Supply</t>
  </si>
  <si>
    <t>Stock_Status</t>
  </si>
  <si>
    <t>Chapter 5-Inventory analysis</t>
  </si>
  <si>
    <t>Finding</t>
  </si>
  <si>
    <t>Business Reason</t>
  </si>
  <si>
    <t>Decision Supported</t>
  </si>
  <si>
    <t>6 SKUs require immediate reorder</t>
  </si>
  <si>
    <t>Stock fallen below ROP</t>
  </si>
  <si>
    <t>Trigger reorder for Co-ord Sets, Sweatshirts, Dresses priority SKUs</t>
  </si>
  <si>
    <t>High CV categories (Ch.4) align with reorder triggers</t>
  </si>
  <si>
    <t>Volatile demand depletes stock faster and unpredictably</t>
  </si>
  <si>
    <t>Safety stock buffers must be reviewed each season</t>
  </si>
  <si>
    <t>4 SKUs missing Units_On_Hand (PRD-008,019,031,033)</t>
  </si>
  <si>
    <t>Data not captured in inventory system</t>
  </si>
  <si>
    <t>Cannot assess stock status — flag for urgent data collection</t>
  </si>
  <si>
    <t>Lead time assumed at 14 days for all SKUs</t>
  </si>
  <si>
    <t>Order date not recorded in source system</t>
  </si>
  <si>
    <t>In production, capture order date at POS/ERP level</t>
  </si>
  <si>
    <t>LET() function</t>
  </si>
  <si>
    <t>Stored XLOOKUP result as a named variable to avoid running the same lookup twice — used in Units_On_Hand and Reorder_Lvl columns</t>
  </si>
  <si>
    <t>SQRT() function</t>
  </si>
  <si>
    <t>Used inside Safety Stock formula to convert lead time from days to monthly units: SQRT(Lead_Time/30)</t>
  </si>
  <si>
    <t>Safety Stock formula</t>
  </si>
  <si>
    <t>Combined Z-score (1.65), Std_Dev, and SQRT to calculate buffer stock per SKU in CH5_Inventory</t>
  </si>
  <si>
    <t>ROP formula</t>
  </si>
  <si>
    <t>Built Reorder Point as (Avg_Daily_Demand × Lead_Time_Days) + Safety_Stock, rounded to 0 decimal places</t>
  </si>
  <si>
    <t>Days of Supply formula</t>
  </si>
  <si>
    <t>Divided Units_On_Hand by Avg_Daily_Demand with IF/OR to handle Missing data and division-by-zero</t>
  </si>
  <si>
    <t>Rounding discipline</t>
  </si>
  <si>
    <t>Kept 2 decimal places in intermediate calculations (Avg_Daily_Demand), rounded to 0 only in final outputs (ROP, Safety Stock) — units are whole pieces</t>
  </si>
  <si>
    <t>Units_Received</t>
  </si>
  <si>
    <t>Units_Sold</t>
  </si>
  <si>
    <t>Sell_Through_Rate</t>
  </si>
  <si>
    <t>Cost_Price</t>
  </si>
  <si>
    <t>Selling_Price</t>
  </si>
  <si>
    <t>Gross_Margin_Pct</t>
  </si>
  <si>
    <t>Total_Revenue</t>
  </si>
  <si>
    <t>Revenue_Rank</t>
  </si>
  <si>
    <t>Cumulative_Revenue_Pct</t>
  </si>
  <si>
    <t>ABC_Class</t>
  </si>
  <si>
    <t>Gross_Margin_Dollar</t>
  </si>
  <si>
    <t>Inventory_Investment</t>
  </si>
  <si>
    <t>GMROI</t>
  </si>
  <si>
    <t>GMROI_Class</t>
  </si>
  <si>
    <t>chapter 6-Financial analysis</t>
  </si>
  <si>
    <t>Finding #16 — Gross Margin Range "Gross margin % ranges from 51% to 58% across all 40 SKUs — a narrow band indicating consistent supplier pricing and markup strategy. No outlier SKUs with dangerously thin or unusually high margins."</t>
  </si>
  <si>
    <t>Finding #17 — Sell-Through Anomalies "Several SKUs exceed 100% sell-through rate. Investigated and documented as opening inventory effect — units sold include stock carried over before the measurement period began, not a data error."</t>
  </si>
  <si>
    <t>Finding #18 — Revenue-Based ABC Classification "20 Class A SKUs drive 70% of total revenue. 12 Class B SKUs contribute the next 20%. 8 Class C SKUs account for the remaining 10%. Revenue is moderately concentrated — top 20 SKUs require priority protection in buying and inventory planning."</t>
  </si>
  <si>
    <t>Finding #19 — GMROI vs Revenue ABC Gap "Revenue-based ABC classified 20 SKUs as Class A. GMROI-based classification identifies only 5 Class A SKUs (GMROI ≥ 2.0), 13 Class B (1.0–1.99), and 22 Class C (below 1.0). The gap indicates widespread capital inefficiency masked by revenue performance. A production model would adjust GMROI for trade credit terms (net 30) and qualitative overlays for halo-effect and supply-chain-constrained SKUs."</t>
  </si>
  <si>
    <t>Revenue ABC</t>
  </si>
  <si>
    <t>GMROI Class</t>
  </si>
  <si>
    <t>Class A</t>
  </si>
  <si>
    <t>Class B</t>
  </si>
  <si>
    <t>Class C</t>
  </si>
  <si>
    <t>Chapter 7 — Advanced Analysis</t>
  </si>
  <si>
    <t>7.1 Sensitivity Analysis — Demand Spike Scenario</t>
  </si>
  <si>
    <t>Assumptions</t>
  </si>
  <si>
    <t>Z-Score (Service Level)</t>
  </si>
  <si>
    <t>Lead Time (Days)</t>
  </si>
  <si>
    <t>Spike Levels</t>
  </si>
  <si>
    <t>Base_Safety_Stock</t>
  </si>
  <si>
    <t>Std_Dev</t>
  </si>
  <si>
    <t>Safety_Stock_25%</t>
  </si>
  <si>
    <t>ROP_25%</t>
  </si>
  <si>
    <t>Stockout_25%</t>
  </si>
  <si>
    <t>Days_of_Supply_25%</t>
  </si>
  <si>
    <t>Safety_Stock_50%</t>
  </si>
  <si>
    <t>ROP_50%</t>
  </si>
  <si>
    <t>Days_of_Supply_50%</t>
  </si>
  <si>
    <t>Stockout_50%</t>
  </si>
  <si>
    <t>Safety_Stock_75%</t>
  </si>
  <si>
    <t>ROP_75%</t>
  </si>
  <si>
    <t>Days_of_Supply_75%</t>
  </si>
  <si>
    <t>Stockout_75%</t>
  </si>
  <si>
    <t>25% Spike Scenario</t>
  </si>
  <si>
    <t>50% Spike Scenario</t>
  </si>
  <si>
    <t>75% Spike Scenario</t>
  </si>
  <si>
    <t>Total anger</t>
  </si>
  <si>
    <t>Total Watch</t>
  </si>
  <si>
    <t>Total Stable</t>
  </si>
  <si>
    <t xml:space="preserve"> What-If Modeling: Lead Time vs ROP (Data Table)</t>
  </si>
  <si>
    <t>Input</t>
  </si>
  <si>
    <t>Z_Score</t>
  </si>
  <si>
    <t>Base_Lead_Time</t>
  </si>
  <si>
    <t>Lead_Time</t>
  </si>
  <si>
    <t>Driver Formula based on the base-lead time</t>
  </si>
  <si>
    <t>Demand Spike Impact on Inventory: PRD-017</t>
  </si>
  <si>
    <t>SKU</t>
  </si>
  <si>
    <t>Spike_Factor</t>
  </si>
  <si>
    <t>Spiked_Daily_Demand</t>
  </si>
  <si>
    <t>Days_to_Stockout</t>
  </si>
  <si>
    <t>ROP_at_Spike</t>
  </si>
  <si>
    <t>Extra_Safety_Stock</t>
  </si>
  <si>
    <t>Unit Margin × Velocity Matrix</t>
  </si>
  <si>
    <t>Median_Demand</t>
  </si>
  <si>
    <t>Median_Margin</t>
  </si>
  <si>
    <t>Quadrant</t>
  </si>
  <si>
    <t>Tankhoone Fashion Retail — Business Performance Dashboard</t>
  </si>
  <si>
    <t>Tehran 2023  |  40 SKUs  |  ~1,215 Transactions  |  Analysis by Hamed</t>
  </si>
  <si>
    <t>Report Date:</t>
  </si>
  <si>
    <t>Avg Gross Margin</t>
  </si>
  <si>
    <t>Total SKUs</t>
  </si>
  <si>
    <t>Class A SKUs</t>
  </si>
  <si>
    <t>Avg Sell-Through</t>
  </si>
  <si>
    <t>Total Revenue (IRR)</t>
  </si>
  <si>
    <t>Tehran 2023  |  Inventory Health  |  Reorder Alerts  |  SKU Action Plan</t>
  </si>
  <si>
    <t>SKUs Reorder Now</t>
  </si>
  <si>
    <t>Star SKUs</t>
  </si>
  <si>
    <t>SKUs at Spike Danger</t>
  </si>
  <si>
    <t>Avg Days of Supply</t>
  </si>
  <si>
    <t>Dead Weight SKUs</t>
  </si>
  <si>
    <r>
      <rPr>
        <b/>
        <sz val="12"/>
        <color rgb="FFFF0000"/>
        <rFont val="Calibri"/>
        <family val="2"/>
      </rPr>
      <t>🚨</t>
    </r>
    <r>
      <rPr>
        <b/>
        <sz val="12"/>
        <color theme="1"/>
        <rFont val="Calibri"/>
        <family val="2"/>
      </rPr>
      <t xml:space="preserve"> </t>
    </r>
    <r>
      <rPr>
        <b/>
        <sz val="12"/>
        <color rgb="FFC00000"/>
        <rFont val="Calibri"/>
        <family val="2"/>
      </rPr>
      <t>Reorder Now — 6 SKUs Require Immediate Action</t>
    </r>
  </si>
  <si>
    <t>⚠ Demand Spike Risk — 25% Scenario</t>
  </si>
  <si>
    <t>Tankhoone Fashion Retail — Operations &amp; Inventory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</si>
</sst>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5" formatCode="yyyy\-mm\-dd;@"/>
    <numFmt numFmtId="174" formatCode="_(* #,##0_);_(* \(#,##0\);_(* &quot;-&quot;??_);_(@_)"/>
    <numFmt numFmtId="182" formatCode="[$IRR]\ #,##0.00"/>
  </numFmts>
  <fonts count="36">
    <font>
      <sz val="11"/>
      <color theme="1"/>
      <name val="Calibri"/>
      <family val="2"/>
      <charset val="1"/>
    </font>
    <font>
      <sz val="10"/>
      <name val="Arial"/>
    </font>
    <font>
      <sz val="11"/>
      <color theme="1"/>
      <name val="Calibri"/>
      <family val="2"/>
      <charset val="1"/>
    </font>
    <font>
      <sz val="11"/>
      <color rgb="FF9C0006"/>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sz val="8"/>
      <name val="Calibri"/>
      <family val="2"/>
      <charset val="1"/>
    </font>
    <font>
      <b/>
      <sz val="11"/>
      <color theme="1"/>
      <name val="Calibri"/>
      <family val="2"/>
      <charset val="1"/>
    </font>
    <font>
      <b/>
      <sz val="11"/>
      <color rgb="FFFFFFFF"/>
      <name val="Arial"/>
    </font>
    <font>
      <b/>
      <sz val="10"/>
      <name val="Arial"/>
    </font>
    <font>
      <b/>
      <sz val="10"/>
      <name val="Arial"/>
      <family val="2"/>
    </font>
    <font>
      <sz val="10"/>
      <name val="Arial"/>
      <family val="2"/>
    </font>
    <font>
      <b/>
      <sz val="20"/>
      <color theme="5"/>
      <name val="Calibri"/>
      <family val="2"/>
    </font>
    <font>
      <b/>
      <sz val="26"/>
      <color theme="5"/>
      <name val="Calibri"/>
      <family val="2"/>
    </font>
    <font>
      <sz val="24"/>
      <color theme="5"/>
      <name val="Arial"/>
      <family val="2"/>
    </font>
    <font>
      <b/>
      <sz val="24"/>
      <color theme="5"/>
      <name val="Arial"/>
      <family val="2"/>
    </font>
    <font>
      <sz val="10"/>
      <color theme="5"/>
      <name val="Arial"/>
      <family val="2"/>
    </font>
    <font>
      <b/>
      <sz val="22"/>
      <color theme="5"/>
      <name val="Calibri"/>
      <family val="2"/>
    </font>
    <font>
      <sz val="10"/>
      <color theme="1"/>
      <name val="Arial Unicode MS"/>
    </font>
    <font>
      <sz val="11"/>
      <color theme="1"/>
      <name val="Calibri"/>
      <family val="2"/>
    </font>
    <font>
      <b/>
      <sz val="11"/>
      <color theme="1"/>
      <name val="Calibri"/>
      <family val="2"/>
    </font>
    <font>
      <b/>
      <sz val="12"/>
      <color theme="1"/>
      <name val="Calibri"/>
      <family val="2"/>
    </font>
    <font>
      <b/>
      <sz val="14"/>
      <color theme="1"/>
      <name val="Calibri"/>
      <family val="2"/>
    </font>
    <font>
      <sz val="18"/>
      <color theme="0"/>
      <name val="Calibri"/>
      <family val="2"/>
    </font>
    <font>
      <sz val="11"/>
      <color theme="1" tint="0.34998626667073579"/>
      <name val="Calibri"/>
      <family val="2"/>
      <charset val="1"/>
    </font>
    <font>
      <b/>
      <sz val="11"/>
      <color theme="1" tint="0.499984740745262"/>
      <name val="Calibri"/>
      <family val="2"/>
    </font>
    <font>
      <b/>
      <sz val="16"/>
      <color theme="3" tint="0.39997558519241921"/>
      <name val="Calibri"/>
      <family val="2"/>
    </font>
    <font>
      <sz val="11"/>
      <color theme="1" tint="0.499984740745262"/>
      <name val="Calibri"/>
      <family val="2"/>
      <charset val="1"/>
    </font>
    <font>
      <sz val="16"/>
      <color rgb="FF2E75B6"/>
      <name val="Calibri"/>
      <family val="2"/>
    </font>
    <font>
      <b/>
      <sz val="16"/>
      <color rgb="FF2E75B6"/>
      <name val="Calibri"/>
      <family val="2"/>
    </font>
    <font>
      <b/>
      <sz val="11"/>
      <color theme="0"/>
      <name val="Calibri"/>
      <family val="2"/>
    </font>
    <font>
      <sz val="10"/>
      <color theme="1" tint="0.14999847407452621"/>
      <name val="Calibri"/>
      <family val="2"/>
      <charset val="1"/>
    </font>
    <font>
      <b/>
      <sz val="10"/>
      <color theme="1" tint="0.14999847407452621"/>
      <name val="Calibri"/>
      <family val="2"/>
    </font>
    <font>
      <b/>
      <sz val="12"/>
      <color rgb="FFFF0000"/>
      <name val="Calibri"/>
      <family val="2"/>
    </font>
    <font>
      <b/>
      <sz val="12"/>
      <color rgb="FFC00000"/>
      <name val="Calibri"/>
      <family val="2"/>
    </font>
  </fonts>
  <fills count="28">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2E75B6"/>
      </patternFill>
    </fill>
    <fill>
      <patternFill patternType="solid">
        <fgColor rgb="FFD9E2F3"/>
      </patternFill>
    </fill>
    <fill>
      <patternFill patternType="solid">
        <fgColor rgb="FFFFFFFF"/>
      </patternFill>
    </fill>
    <fill>
      <patternFill patternType="solid">
        <fgColor rgb="FFD9E2F3"/>
        <bgColor indexed="64"/>
      </patternFill>
    </fill>
    <fill>
      <patternFill patternType="solid">
        <fgColor rgb="FFFF0000"/>
        <bgColor indexed="64"/>
      </patternFill>
    </fill>
    <fill>
      <patternFill patternType="solid">
        <fgColor theme="8"/>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9"/>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CCFF99"/>
        <bgColor indexed="64"/>
      </patternFill>
    </fill>
    <fill>
      <patternFill patternType="solid">
        <fgColor theme="4"/>
        <bgColor indexed="64"/>
      </patternFill>
    </fill>
    <fill>
      <patternFill patternType="solid">
        <fgColor rgb="FFD5E8F0"/>
        <bgColor indexed="64"/>
      </patternFill>
    </fill>
    <fill>
      <patternFill patternType="solid">
        <fgColor rgb="FF2E75B6"/>
        <bgColor indexed="64"/>
      </patternFill>
    </fill>
    <fill>
      <patternFill patternType="solid">
        <fgColor theme="8" tint="0.79998168889431442"/>
        <bgColor indexed="64"/>
      </patternFill>
    </fill>
    <fill>
      <patternFill patternType="solid">
        <fgColor rgb="FFFCE4D6"/>
        <bgColor indexed="64"/>
      </patternFill>
    </fill>
  </fills>
  <borders count="23">
    <border>
      <left/>
      <right/>
      <top/>
      <bottom/>
      <diagonal/>
    </border>
    <border>
      <left style="thin">
        <color rgb="FFCCCCCC"/>
      </left>
      <right style="thin">
        <color rgb="FFCCCCCC"/>
      </right>
      <top style="thin">
        <color rgb="FFCCCCCC"/>
      </top>
      <bottom style="thin">
        <color rgb="FFCCCCCC"/>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style="thin">
        <color rgb="FFCCCCCC"/>
      </top>
      <bottom/>
      <diagonal/>
    </border>
    <border>
      <left style="thin">
        <color rgb="FFCCCCCC"/>
      </left>
      <right/>
      <top style="thin">
        <color rgb="FFCCCCCC"/>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B2B2B2"/>
      </left>
      <right style="thin">
        <color rgb="FFB2B2B2"/>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style="medium">
        <color rgb="FFFF0000"/>
      </right>
      <top/>
      <bottom style="medium">
        <color rgb="FFFF0000"/>
      </bottom>
      <diagonal/>
    </border>
  </borders>
  <cellStyleXfs count="8">
    <xf numFmtId="0" fontId="0" fillId="0" borderId="0"/>
    <xf numFmtId="0" fontId="6" fillId="5" borderId="2" applyNumberFormat="0" applyAlignment="0" applyProtection="0"/>
    <xf numFmtId="0" fontId="5" fillId="4" borderId="2" applyNumberFormat="0" applyAlignment="0" applyProtection="0"/>
    <xf numFmtId="0" fontId="4" fillId="3" borderId="0" applyNumberFormat="0" applyBorder="0" applyAlignment="0" applyProtection="0"/>
    <xf numFmtId="0" fontId="3" fillId="2" borderId="0" applyNumberFormat="0" applyBorder="0" applyAlignment="0" applyProtection="0"/>
    <xf numFmtId="43" fontId="1" fillId="0" borderId="0" applyBorder="0" applyAlignment="0" applyProtection="0"/>
    <xf numFmtId="9" fontId="1" fillId="0" borderId="0" applyBorder="0" applyAlignment="0" applyProtection="0"/>
    <xf numFmtId="0" fontId="2" fillId="6" borderId="3" applyNumberFormat="0" applyFont="0" applyAlignment="0" applyProtection="0"/>
  </cellStyleXfs>
  <cellXfs count="125">
    <xf numFmtId="0" fontId="0" fillId="0" borderId="0" xfId="0"/>
    <xf numFmtId="14" fontId="0" fillId="0" borderId="0" xfId="0" applyNumberFormat="1"/>
    <xf numFmtId="165" fontId="0" fillId="0" borderId="0" xfId="0" applyNumberFormat="1"/>
    <xf numFmtId="2" fontId="0" fillId="0" borderId="0" xfId="0" applyNumberFormat="1"/>
    <xf numFmtId="1" fontId="0" fillId="0" borderId="0" xfId="0" applyNumberFormat="1"/>
    <xf numFmtId="0" fontId="3" fillId="2" borderId="0" xfId="4"/>
    <xf numFmtId="0" fontId="8" fillId="0" borderId="0" xfId="0" applyFont="1" applyAlignment="1">
      <alignment horizontal="center" vertical="center" wrapText="1"/>
    </xf>
    <xf numFmtId="0" fontId="0" fillId="0" borderId="0" xfId="0" applyAlignment="1">
      <alignment vertical="center" wrapText="1"/>
    </xf>
    <xf numFmtId="0" fontId="1" fillId="8" borderId="1" xfId="0" applyFont="1" applyFill="1" applyBorder="1" applyAlignment="1">
      <alignment vertical="top" wrapText="1"/>
    </xf>
    <xf numFmtId="0" fontId="1" fillId="9" borderId="1" xfId="0" applyFont="1" applyFill="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43" fontId="1" fillId="0" borderId="0" xfId="5"/>
    <xf numFmtId="174" fontId="1" fillId="0" borderId="0" xfId="5" applyNumberFormat="1"/>
    <xf numFmtId="174" fontId="12" fillId="0" borderId="0" xfId="0" applyNumberFormat="1" applyFont="1" applyFill="1"/>
    <xf numFmtId="0" fontId="0" fillId="0" borderId="0" xfId="0" applyAlignment="1">
      <alignment horizontal="center"/>
    </xf>
    <xf numFmtId="0" fontId="0" fillId="0" borderId="0" xfId="0" applyAlignment="1">
      <alignment horizontal="center"/>
    </xf>
    <xf numFmtId="0" fontId="0" fillId="0" borderId="0" xfId="0" applyAlignment="1">
      <alignment wrapText="1"/>
    </xf>
    <xf numFmtId="0" fontId="13" fillId="0" borderId="0" xfId="0" applyFont="1" applyAlignment="1">
      <alignment horizontal="center" vertical="center" wrapText="1"/>
    </xf>
    <xf numFmtId="0" fontId="0" fillId="0" borderId="0" xfId="0" applyAlignment="1">
      <alignment horizontal="center" vertical="center" wrapText="1"/>
    </xf>
    <xf numFmtId="0" fontId="10" fillId="8" borderId="4" xfId="0" applyFont="1" applyFill="1" applyBorder="1" applyAlignment="1">
      <alignment vertical="top" wrapText="1"/>
    </xf>
    <xf numFmtId="0" fontId="10" fillId="9" borderId="4" xfId="0" applyFont="1" applyFill="1" applyBorder="1" applyAlignment="1">
      <alignment vertical="top" wrapText="1"/>
    </xf>
    <xf numFmtId="0" fontId="1" fillId="8" borderId="8" xfId="0" applyFont="1" applyFill="1" applyBorder="1" applyAlignment="1">
      <alignment vertical="top" wrapText="1"/>
    </xf>
    <xf numFmtId="0" fontId="1" fillId="9" borderId="8" xfId="0" applyFont="1" applyFill="1" applyBorder="1" applyAlignment="1">
      <alignment vertical="top" wrapText="1"/>
    </xf>
    <xf numFmtId="0" fontId="9" fillId="7" borderId="5"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10" fillId="8" borderId="10" xfId="0" applyFont="1" applyFill="1" applyBorder="1" applyAlignment="1">
      <alignment vertical="top" wrapText="1"/>
    </xf>
    <xf numFmtId="0" fontId="1" fillId="8" borderId="11" xfId="0" applyFont="1" applyFill="1" applyBorder="1" applyAlignment="1">
      <alignment vertical="top" wrapText="1"/>
    </xf>
    <xf numFmtId="0" fontId="1" fillId="8" borderId="7" xfId="0" applyFont="1" applyFill="1" applyBorder="1" applyAlignment="1">
      <alignment vertical="top" wrapText="1"/>
    </xf>
    <xf numFmtId="0" fontId="11" fillId="10" borderId="10" xfId="0" applyFont="1" applyFill="1" applyBorder="1" applyAlignment="1">
      <alignment vertical="top" wrapText="1"/>
    </xf>
    <xf numFmtId="0" fontId="12" fillId="10" borderId="11" xfId="0" applyFont="1" applyFill="1" applyBorder="1" applyAlignment="1">
      <alignment vertical="top" wrapText="1"/>
    </xf>
    <xf numFmtId="0" fontId="12" fillId="10" borderId="7" xfId="0" applyFont="1" applyFill="1" applyBorder="1" applyAlignment="1">
      <alignment vertical="top" wrapText="1"/>
    </xf>
    <xf numFmtId="9" fontId="1" fillId="0" borderId="0" xfId="6"/>
    <xf numFmtId="0" fontId="0" fillId="0" borderId="0" xfId="0" applyAlignment="1">
      <alignment vertical="center"/>
    </xf>
    <xf numFmtId="0" fontId="0" fillId="0" borderId="0" xfId="0" applyAlignment="1">
      <alignment horizontal="center" vertical="center"/>
    </xf>
    <xf numFmtId="0" fontId="14" fillId="0" borderId="0" xfId="0" applyFont="1" applyAlignment="1">
      <alignment horizontal="center" vertical="center"/>
    </xf>
    <xf numFmtId="174" fontId="0" fillId="0" borderId="0" xfId="0" applyNumberFormat="1"/>
    <xf numFmtId="174" fontId="15" fillId="0" borderId="0" xfId="5" applyNumberFormat="1" applyFont="1" applyAlignment="1">
      <alignment horizontal="center"/>
    </xf>
    <xf numFmtId="174" fontId="17" fillId="0" borderId="0" xfId="5" applyNumberFormat="1" applyFont="1" applyAlignment="1">
      <alignment horizontal="center"/>
    </xf>
    <xf numFmtId="0" fontId="0" fillId="0" borderId="0" xfId="0" applyAlignment="1"/>
    <xf numFmtId="0" fontId="18" fillId="0" borderId="0" xfId="0" applyFont="1" applyAlignment="1">
      <alignment horizontal="center"/>
    </xf>
    <xf numFmtId="0" fontId="0" fillId="11" borderId="0" xfId="0" applyFill="1"/>
    <xf numFmtId="0" fontId="12" fillId="9" borderId="1" xfId="0" applyFont="1" applyFill="1" applyBorder="1" applyAlignment="1">
      <alignment vertical="top" wrapText="1"/>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vertical="top"/>
    </xf>
    <xf numFmtId="0" fontId="4" fillId="3" borderId="0" xfId="3"/>
    <xf numFmtId="0" fontId="6" fillId="5" borderId="2" xfId="1" applyAlignment="1">
      <alignment vertical="center" wrapText="1"/>
    </xf>
    <xf numFmtId="0" fontId="0" fillId="0" borderId="0" xfId="0" applyAlignment="1">
      <alignment horizontal="center" vertical="top" wrapText="1"/>
    </xf>
    <xf numFmtId="0" fontId="20" fillId="0" borderId="0" xfId="0" applyFont="1" applyAlignment="1">
      <alignment vertical="center" wrapText="1"/>
    </xf>
    <xf numFmtId="43" fontId="0" fillId="0" borderId="0" xfId="0" applyNumberFormat="1"/>
    <xf numFmtId="0" fontId="0" fillId="6" borderId="3" xfId="7" applyFont="1"/>
    <xf numFmtId="9" fontId="1" fillId="6" borderId="3" xfId="7" applyNumberFormat="1" applyFont="1"/>
    <xf numFmtId="0" fontId="0" fillId="12" borderId="0" xfId="0" applyFill="1"/>
    <xf numFmtId="9" fontId="1" fillId="13" borderId="0" xfId="6" applyFill="1"/>
    <xf numFmtId="9" fontId="1" fillId="14" borderId="0" xfId="6" applyFill="1"/>
    <xf numFmtId="0" fontId="0" fillId="6" borderId="12" xfId="7" applyFont="1" applyBorder="1"/>
    <xf numFmtId="0" fontId="0" fillId="15" borderId="0" xfId="0" applyFill="1"/>
    <xf numFmtId="9" fontId="0" fillId="0" borderId="0" xfId="0" applyNumberFormat="1"/>
    <xf numFmtId="0" fontId="21" fillId="16" borderId="0" xfId="0" applyFont="1" applyFill="1" applyAlignment="1">
      <alignment horizontal="center"/>
    </xf>
    <xf numFmtId="0" fontId="0" fillId="16" borderId="0" xfId="0" applyFill="1" applyAlignment="1">
      <alignment horizontal="center"/>
    </xf>
    <xf numFmtId="0" fontId="0" fillId="16" borderId="0" xfId="0" applyFill="1"/>
    <xf numFmtId="0" fontId="21" fillId="17" borderId="0" xfId="0" applyFont="1" applyFill="1" applyAlignment="1">
      <alignment horizontal="center"/>
    </xf>
    <xf numFmtId="0" fontId="0" fillId="17" borderId="0" xfId="0" applyFill="1" applyAlignment="1">
      <alignment horizontal="center"/>
    </xf>
    <xf numFmtId="0" fontId="0" fillId="17" borderId="0" xfId="0" applyFill="1"/>
    <xf numFmtId="0" fontId="21" fillId="18" borderId="0" xfId="0" applyFont="1" applyFill="1" applyAlignment="1">
      <alignment horizontal="center"/>
    </xf>
    <xf numFmtId="0" fontId="0" fillId="18" borderId="0" xfId="0" applyFill="1" applyAlignment="1">
      <alignment horizontal="center"/>
    </xf>
    <xf numFmtId="0" fontId="0" fillId="18" borderId="0" xfId="0" applyFill="1"/>
    <xf numFmtId="0" fontId="19" fillId="0" borderId="0" xfId="0" applyFont="1"/>
    <xf numFmtId="0" fontId="0" fillId="19" borderId="0" xfId="0" applyFill="1"/>
    <xf numFmtId="0" fontId="0" fillId="20" borderId="0" xfId="0" applyFill="1"/>
    <xf numFmtId="1" fontId="0" fillId="20" borderId="0" xfId="0" applyNumberFormat="1" applyFill="1"/>
    <xf numFmtId="0" fontId="0" fillId="21" borderId="0" xfId="0" applyFill="1"/>
    <xf numFmtId="2" fontId="0" fillId="21" borderId="0" xfId="0" applyNumberFormat="1" applyFill="1"/>
    <xf numFmtId="2" fontId="0" fillId="20" borderId="0" xfId="0" applyNumberFormat="1" applyFill="1"/>
    <xf numFmtId="0" fontId="0" fillId="22" borderId="0" xfId="0" applyFill="1"/>
    <xf numFmtId="0" fontId="19" fillId="22" borderId="0" xfId="0" applyFont="1" applyFill="1"/>
    <xf numFmtId="0" fontId="23" fillId="0" borderId="0" xfId="0" applyFont="1"/>
    <xf numFmtId="0" fontId="5" fillId="4" borderId="2" xfId="2"/>
    <xf numFmtId="0" fontId="0" fillId="23" borderId="0" xfId="0" applyFill="1" applyAlignment="1">
      <alignment horizontal="right"/>
    </xf>
    <xf numFmtId="0" fontId="0" fillId="0" borderId="0" xfId="0" applyAlignment="1">
      <alignment horizontal="center" readingOrder="1"/>
    </xf>
    <xf numFmtId="0" fontId="25" fillId="24" borderId="0" xfId="0" applyFont="1" applyFill="1" applyAlignment="1">
      <alignment horizontal="center"/>
    </xf>
    <xf numFmtId="0" fontId="27" fillId="0" borderId="0" xfId="0" applyFont="1"/>
    <xf numFmtId="0" fontId="27" fillId="0" borderId="0" xfId="0" applyFont="1" applyAlignment="1">
      <alignment horizontal="center"/>
    </xf>
    <xf numFmtId="0" fontId="26" fillId="0" borderId="0" xfId="0" applyFont="1" applyAlignment="1"/>
    <xf numFmtId="0" fontId="26" fillId="24" borderId="13" xfId="0" applyFont="1" applyFill="1" applyBorder="1" applyAlignment="1">
      <alignment horizontal="center" vertical="center"/>
    </xf>
    <xf numFmtId="9" fontId="27" fillId="24" borderId="14" xfId="0" applyNumberFormat="1" applyFont="1" applyFill="1" applyBorder="1" applyAlignment="1">
      <alignment horizontal="center"/>
    </xf>
    <xf numFmtId="0" fontId="27" fillId="24" borderId="14" xfId="0" applyFont="1" applyFill="1" applyBorder="1" applyAlignment="1">
      <alignment horizontal="center"/>
    </xf>
    <xf numFmtId="0" fontId="27" fillId="24" borderId="14" xfId="0" applyFont="1" applyFill="1" applyBorder="1" applyAlignment="1">
      <alignment horizontal="center" vertical="center"/>
    </xf>
    <xf numFmtId="9" fontId="27" fillId="24" borderId="14" xfId="0" applyNumberFormat="1" applyFont="1" applyFill="1" applyBorder="1" applyAlignment="1">
      <alignment horizontal="center" vertical="center"/>
    </xf>
    <xf numFmtId="182" fontId="27" fillId="24" borderId="14" xfId="0" applyNumberFormat="1" applyFont="1" applyFill="1" applyBorder="1" applyAlignment="1">
      <alignment horizontal="center" vertical="center"/>
    </xf>
    <xf numFmtId="0" fontId="24" fillId="25" borderId="0" xfId="0" applyFont="1" applyFill="1" applyAlignment="1">
      <alignment horizontal="center" vertical="center" readingOrder="1"/>
    </xf>
    <xf numFmtId="0" fontId="0" fillId="25" borderId="0" xfId="0" applyFill="1" applyAlignment="1">
      <alignment horizontal="center" vertical="center" readingOrder="1"/>
    </xf>
    <xf numFmtId="14" fontId="19" fillId="0" borderId="0" xfId="0" applyNumberFormat="1" applyFont="1"/>
    <xf numFmtId="0" fontId="28" fillId="0" borderId="0" xfId="0" applyFont="1"/>
    <xf numFmtId="0" fontId="29" fillId="0" borderId="0" xfId="0" applyFont="1"/>
    <xf numFmtId="0" fontId="28" fillId="26" borderId="13" xfId="0" applyFont="1" applyFill="1" applyBorder="1" applyAlignment="1">
      <alignment horizontal="center" vertical="center"/>
    </xf>
    <xf numFmtId="0" fontId="30" fillId="26" borderId="14" xfId="0" applyFont="1" applyFill="1" applyBorder="1" applyAlignment="1">
      <alignment horizontal="center" vertical="center"/>
    </xf>
    <xf numFmtId="0" fontId="21" fillId="0" borderId="0" xfId="0" applyFont="1" applyAlignment="1">
      <alignment horizontal="center" vertical="center"/>
    </xf>
    <xf numFmtId="0" fontId="31" fillId="23" borderId="0" xfId="0" applyFont="1" applyFill="1" applyAlignment="1">
      <alignment horizontal="center" vertical="center"/>
    </xf>
    <xf numFmtId="0" fontId="22" fillId="0" borderId="0" xfId="0" applyFont="1" applyAlignment="1">
      <alignment horizontal="center" vertical="center"/>
    </xf>
    <xf numFmtId="0" fontId="32" fillId="27" borderId="0" xfId="0" applyFont="1" applyFill="1" applyBorder="1" applyAlignment="1">
      <alignment horizontal="center" vertical="center"/>
    </xf>
    <xf numFmtId="0" fontId="31" fillId="23" borderId="16" xfId="0" applyFont="1" applyFill="1" applyBorder="1" applyAlignment="1">
      <alignment horizontal="center" vertical="center"/>
    </xf>
    <xf numFmtId="0" fontId="31" fillId="23" borderId="17" xfId="0" applyFont="1" applyFill="1" applyBorder="1" applyAlignment="1">
      <alignment horizontal="center" vertical="center"/>
    </xf>
    <xf numFmtId="0" fontId="31" fillId="23" borderId="18" xfId="0" applyFont="1" applyFill="1" applyBorder="1"/>
    <xf numFmtId="0" fontId="32" fillId="27" borderId="19" xfId="0" applyFont="1" applyFill="1" applyBorder="1" applyAlignment="1">
      <alignment horizontal="center" vertical="center"/>
    </xf>
    <xf numFmtId="0" fontId="33" fillId="27" borderId="20" xfId="0" applyFont="1" applyFill="1" applyBorder="1" applyAlignment="1">
      <alignment horizontal="center" vertical="center"/>
    </xf>
    <xf numFmtId="0" fontId="32" fillId="27" borderId="21" xfId="0" applyFont="1" applyFill="1" applyBorder="1" applyAlignment="1">
      <alignment horizontal="center" vertical="center"/>
    </xf>
    <xf numFmtId="0" fontId="32" fillId="27" borderId="15" xfId="0" applyFont="1" applyFill="1" applyBorder="1" applyAlignment="1">
      <alignment horizontal="center" vertical="center"/>
    </xf>
    <xf numFmtId="0" fontId="33" fillId="27" borderId="22" xfId="0" applyFont="1" applyFill="1" applyBorder="1" applyAlignment="1">
      <alignment horizontal="center" vertical="center"/>
    </xf>
    <xf numFmtId="0" fontId="0" fillId="27" borderId="16" xfId="0" applyFill="1" applyBorder="1" applyAlignment="1">
      <alignment horizontal="center" vertical="center"/>
    </xf>
    <xf numFmtId="1" fontId="0" fillId="27" borderId="17" xfId="0" applyNumberFormat="1"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1" fontId="0" fillId="27" borderId="0" xfId="0" applyNumberFormat="1" applyFill="1" applyBorder="1" applyAlignment="1">
      <alignment horizontal="center" vertical="center"/>
    </xf>
    <xf numFmtId="0" fontId="0" fillId="27" borderId="0" xfId="0" applyFill="1" applyBorder="1" applyAlignment="1">
      <alignment horizontal="center" vertical="center"/>
    </xf>
    <xf numFmtId="0" fontId="0" fillId="27" borderId="20" xfId="0" applyFill="1" applyBorder="1" applyAlignment="1">
      <alignment horizontal="center" vertical="center"/>
    </xf>
    <xf numFmtId="0" fontId="0" fillId="27" borderId="21" xfId="0" applyFill="1" applyBorder="1" applyAlignment="1">
      <alignment horizontal="center" vertical="center"/>
    </xf>
    <xf numFmtId="1" fontId="0" fillId="27" borderId="15" xfId="0" applyNumberFormat="1" applyFill="1" applyBorder="1" applyAlignment="1">
      <alignment horizontal="center" vertical="center"/>
    </xf>
    <xf numFmtId="0" fontId="0" fillId="27" borderId="15" xfId="0" applyFill="1" applyBorder="1" applyAlignment="1">
      <alignment horizontal="center" vertical="center"/>
    </xf>
    <xf numFmtId="0" fontId="0" fillId="27" borderId="22" xfId="0" applyFill="1" applyBorder="1" applyAlignment="1">
      <alignment horizontal="center" vertical="center"/>
    </xf>
    <xf numFmtId="0" fontId="35" fillId="0" borderId="0" xfId="0" applyFont="1" applyAlignment="1">
      <alignment horizontal="center" vertical="center"/>
    </xf>
  </cellXfs>
  <cellStyles count="8">
    <cellStyle name="Bad" xfId="4" builtinId="27"/>
    <cellStyle name="Calculation" xfId="1" builtinId="22"/>
    <cellStyle name="Comma" xfId="5" builtinId="3"/>
    <cellStyle name="Input" xfId="2" builtinId="20"/>
    <cellStyle name="Neutral" xfId="3" builtinId="28"/>
    <cellStyle name="Normal" xfId="0" builtinId="0"/>
    <cellStyle name="Note" xfId="7" builtinId="10"/>
    <cellStyle name="Percent" xfId="6" builtinId="5"/>
  </cellStyles>
  <dxfs count="33">
    <dxf>
      <font>
        <color rgb="FFFF0000"/>
      </font>
    </dxf>
    <dxf>
      <font>
        <color rgb="FF9C0006"/>
      </font>
    </dxf>
    <dxf>
      <font>
        <color rgb="FFFFFF00"/>
      </font>
    </dxf>
    <dxf>
      <font>
        <color rgb="FFFFCC00"/>
      </font>
    </dxf>
    <dxf>
      <font>
        <color rgb="FF00B0F0"/>
      </font>
    </dxf>
    <dxf>
      <font>
        <color theme="7" tint="0.59996337778862885"/>
      </font>
    </dxf>
    <dxf>
      <font>
        <color rgb="FFFF0000"/>
      </font>
    </dxf>
    <dxf>
      <numFmt numFmtId="165" formatCode="yyyy\-mm\-dd;@"/>
    </dxf>
    <dxf>
      <numFmt numFmtId="0" formatCode="General"/>
    </dxf>
    <dxf>
      <numFmt numFmtId="0" formatCode="General"/>
    </dxf>
    <dxf>
      <numFmt numFmtId="2" formatCode="0.00"/>
    </dxf>
    <dxf>
      <numFmt numFmtId="174" formatCode="_(* #,##0_);_(* \(#,##0\);_(* &quot;-&quot;??_);_(@_)"/>
    </dxf>
    <dxf>
      <numFmt numFmtId="174" formatCode="_(* #,##0_);_(* \(#,##0\);_(* &quot;-&quot;??_);_(@_)"/>
    </dxf>
    <dxf>
      <numFmt numFmtId="174" formatCode="_(* #,##0_);_(* \(#,##0\);_(* &quot;-&quot;??_);_(@_)"/>
    </dxf>
    <dxf>
      <numFmt numFmtId="174" formatCode="_(* #,##0_);_(* \(#,##0\);_(* &quot;-&quot;??_);_(@_)"/>
    </dxf>
    <dxf>
      <numFmt numFmtId="174"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74"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font>
        <b/>
        <i val="0"/>
        <strike val="0"/>
        <condense val="0"/>
        <extend val="0"/>
        <outline val="0"/>
        <shadow val="0"/>
        <u val="none"/>
        <vertAlign val="baseline"/>
        <sz val="11"/>
        <color rgb="FFFFFFFF"/>
        <name val="Arial"/>
        <scheme val="none"/>
      </font>
      <fill>
        <patternFill patternType="solid">
          <fgColor indexed="64"/>
          <bgColor rgb="FF2E75B6"/>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Arial"/>
        <scheme val="none"/>
      </font>
      <fill>
        <patternFill patternType="solid">
          <fgColor indexed="64"/>
          <bgColor rgb="FFD9E2F3"/>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9E2F3"/>
        </patternFill>
      </fill>
      <alignment horizontal="general" vertical="top"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9E2F3"/>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9E2F3"/>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9E2F3"/>
        </patternFill>
      </fill>
      <alignment horizontal="general" vertical="top"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auto="1"/>
        <name val="Arial"/>
        <scheme val="none"/>
      </font>
      <fill>
        <patternFill patternType="solid">
          <fgColor indexed="64"/>
          <bgColor rgb="FFD9E2F3"/>
        </patternFill>
      </fill>
      <alignment horizontal="general" vertical="top"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74" formatCode="_(* #,##0_);_(* \(#,##0\);_(* &quot;-&quot;??_);_(@_)"/>
    </dxf>
    <dxf>
      <numFmt numFmtId="174" formatCode="_(* #,##0_);_(* \(#,##0\);_(* &quot;-&quot;??_);_(@_)"/>
    </dxf>
    <dxf>
      <numFmt numFmtId="165" formatCode="yyyy\-mm\-dd;@"/>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5F0E8"/>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0442A"/>
      <rgbColor rgb="FF993366"/>
      <rgbColor rgb="FF333399"/>
      <rgbColor rgb="FF333333"/>
      <rgbColor rgb="00003366"/>
      <rgbColor rgb="00339966"/>
      <rgbColor rgb="00003300"/>
      <rgbColor rgb="00333300"/>
      <rgbColor rgb="00993300"/>
      <rgbColor rgb="00993366"/>
      <rgbColor rgb="00333399"/>
      <rgbColor rgb="00333333"/>
    </indexedColors>
    <mruColors>
      <color rgb="FFFCE4D6"/>
      <color rgb="FFFF0000"/>
      <color rgb="FFED7D31"/>
      <color rgb="FFFFCC00"/>
      <color rgb="FF2E75B6"/>
      <color rgb="FFC00000"/>
      <color rgb="FFFFC000"/>
      <color rgb="FFCAC61E"/>
      <color rgb="FFD5E8F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[Tankhoone-working.xlsx]Sales summary!PivotTable2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Orders &amp; Units Sold — Tankhoone Tehran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'Sales summary'!$C$3</c:f>
              <c:strCache>
                <c:ptCount val="1"/>
                <c:pt idx="0">
                  <c:v>Sum of Revenue</c:v>
                </c:pt>
              </c:strCache>
            </c:strRef>
          </c:tx>
          <c:spPr>
            <a:solidFill>
              <a:schemeClr val="accent3"/>
            </a:solidFill>
            <a:ln>
              <a:noFill/>
            </a:ln>
            <a:effectLst/>
            <a:sp3d/>
          </c:spPr>
          <c:invertIfNegative val="0"/>
          <c:cat>
            <c:strRef>
              <c:f>'Sales summary'!$B$4:$B$16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summary'!$C$4:$C$16</c:f>
              <c:numCache>
                <c:formatCode>_(* #,##0_);_(* \(#,##0\);_(* "-"??_);_(@_)</c:formatCode>
                <c:ptCount val="12"/>
                <c:pt idx="0">
                  <c:v>40415250</c:v>
                </c:pt>
                <c:pt idx="1">
                  <c:v>31895200</c:v>
                </c:pt>
                <c:pt idx="2">
                  <c:v>83066250</c:v>
                </c:pt>
                <c:pt idx="3">
                  <c:v>41159750</c:v>
                </c:pt>
                <c:pt idx="4">
                  <c:v>32219750</c:v>
                </c:pt>
                <c:pt idx="5">
                  <c:v>45394750</c:v>
                </c:pt>
                <c:pt idx="6">
                  <c:v>50704600</c:v>
                </c:pt>
                <c:pt idx="7">
                  <c:v>25137150</c:v>
                </c:pt>
                <c:pt idx="8">
                  <c:v>56522300</c:v>
                </c:pt>
                <c:pt idx="9">
                  <c:v>52349700</c:v>
                </c:pt>
                <c:pt idx="10">
                  <c:v>68497050</c:v>
                </c:pt>
                <c:pt idx="11">
                  <c:v>66352550</c:v>
                </c:pt>
              </c:numCache>
            </c:numRef>
          </c:val>
          <c:extLst>
            <c:ext xmlns:c16="http://schemas.microsoft.com/office/drawing/2014/chart" uri="{C3380CC4-5D6E-409C-BE32-E72D297353CC}">
              <c16:uniqueId val="{0000000D-96B6-4CD5-8F5F-5547A772E292}"/>
            </c:ext>
          </c:extLst>
        </c:ser>
        <c:ser>
          <c:idx val="1"/>
          <c:order val="1"/>
          <c:tx>
            <c:strRef>
              <c:f>'Sales summary'!$D$3</c:f>
              <c:strCache>
                <c:ptCount val="1"/>
                <c:pt idx="0">
                  <c:v>Count of Order_ID</c:v>
                </c:pt>
              </c:strCache>
            </c:strRef>
          </c:tx>
          <c:spPr>
            <a:solidFill>
              <a:srgbClr val="C00000"/>
            </a:solidFill>
            <a:ln>
              <a:noFill/>
            </a:ln>
            <a:effectLst/>
            <a:sp3d/>
          </c:spPr>
          <c:invertIfNegative val="0"/>
          <c:cat>
            <c:strRef>
              <c:f>'Sales summary'!$B$4:$B$16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summary'!$D$4:$D$16</c:f>
              <c:numCache>
                <c:formatCode>General</c:formatCode>
                <c:ptCount val="12"/>
                <c:pt idx="0">
                  <c:v>65</c:v>
                </c:pt>
                <c:pt idx="1">
                  <c:v>68</c:v>
                </c:pt>
                <c:pt idx="2">
                  <c:v>164</c:v>
                </c:pt>
                <c:pt idx="3">
                  <c:v>90</c:v>
                </c:pt>
                <c:pt idx="4">
                  <c:v>75</c:v>
                </c:pt>
                <c:pt idx="5">
                  <c:v>89</c:v>
                </c:pt>
                <c:pt idx="6">
                  <c:v>111</c:v>
                </c:pt>
                <c:pt idx="7">
                  <c:v>55</c:v>
                </c:pt>
                <c:pt idx="8">
                  <c:v>109</c:v>
                </c:pt>
                <c:pt idx="9">
                  <c:v>99</c:v>
                </c:pt>
                <c:pt idx="10">
                  <c:v>119</c:v>
                </c:pt>
                <c:pt idx="11">
                  <c:v>145</c:v>
                </c:pt>
              </c:numCache>
            </c:numRef>
          </c:val>
          <c:extLst>
            <c:ext xmlns:c16="http://schemas.microsoft.com/office/drawing/2014/chart" uri="{C3380CC4-5D6E-409C-BE32-E72D297353CC}">
              <c16:uniqueId val="{0000000E-96B6-4CD5-8F5F-5547A772E292}"/>
            </c:ext>
          </c:extLst>
        </c:ser>
        <c:ser>
          <c:idx val="0"/>
          <c:order val="2"/>
          <c:tx>
            <c:strRef>
              <c:f>'Sales summary'!$E$3</c:f>
              <c:strCache>
                <c:ptCount val="1"/>
                <c:pt idx="0">
                  <c:v>Sum of Qty</c:v>
                </c:pt>
              </c:strCache>
            </c:strRef>
          </c:tx>
          <c:spPr>
            <a:solidFill>
              <a:srgbClr val="92D050"/>
            </a:solidFill>
            <a:ln>
              <a:noFill/>
            </a:ln>
            <a:effectLst/>
            <a:sp3d/>
          </c:spPr>
          <c:invertIfNegative val="0"/>
          <c:cat>
            <c:strRef>
              <c:f>'Sales summary'!$B$4:$B$16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summary'!$E$4:$E$16</c:f>
              <c:numCache>
                <c:formatCode>General</c:formatCode>
                <c:ptCount val="12"/>
                <c:pt idx="0">
                  <c:v>138</c:v>
                </c:pt>
                <c:pt idx="1">
                  <c:v>124</c:v>
                </c:pt>
                <c:pt idx="2">
                  <c:v>302</c:v>
                </c:pt>
                <c:pt idx="3">
                  <c:v>149</c:v>
                </c:pt>
                <c:pt idx="4">
                  <c:v>125</c:v>
                </c:pt>
                <c:pt idx="5">
                  <c:v>171</c:v>
                </c:pt>
                <c:pt idx="6">
                  <c:v>189</c:v>
                </c:pt>
                <c:pt idx="7">
                  <c:v>110</c:v>
                </c:pt>
                <c:pt idx="8">
                  <c:v>218</c:v>
                </c:pt>
                <c:pt idx="9">
                  <c:v>188</c:v>
                </c:pt>
                <c:pt idx="10">
                  <c:v>239</c:v>
                </c:pt>
                <c:pt idx="11">
                  <c:v>248</c:v>
                </c:pt>
              </c:numCache>
            </c:numRef>
          </c:val>
          <c:extLst>
            <c:ext xmlns:c16="http://schemas.microsoft.com/office/drawing/2014/chart" uri="{C3380CC4-5D6E-409C-BE32-E72D297353CC}">
              <c16:uniqueId val="{0000000F-96B6-4CD5-8F5F-5547A772E292}"/>
            </c:ext>
          </c:extLst>
        </c:ser>
        <c:dLbls>
          <c:showLegendKey val="0"/>
          <c:showVal val="0"/>
          <c:showCatName val="0"/>
          <c:showSerName val="0"/>
          <c:showPercent val="0"/>
          <c:showBubbleSize val="0"/>
        </c:dLbls>
        <c:gapWidth val="150"/>
        <c:shape val="box"/>
        <c:axId val="1457873263"/>
        <c:axId val="1457873743"/>
        <c:axId val="0"/>
      </c:bar3DChart>
      <c:catAx>
        <c:axId val="145787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73743"/>
        <c:crosses val="autoZero"/>
        <c:auto val="1"/>
        <c:lblAlgn val="ctr"/>
        <c:lblOffset val="100"/>
        <c:noMultiLvlLbl val="0"/>
      </c:catAx>
      <c:valAx>
        <c:axId val="145787374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7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[Tankhoone-working.xlsx]Sales by Categories!PivotTable6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Categories'!$C$11</c:f>
              <c:strCache>
                <c:ptCount val="1"/>
                <c:pt idx="0">
                  <c:v>Sum of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Categories'!$B$12:$B$23</c:f>
              <c:strCache>
                <c:ptCount val="11"/>
                <c:pt idx="0">
                  <c:v>Co-ord Sets</c:v>
                </c:pt>
                <c:pt idx="1">
                  <c:v>Sweatshirts</c:v>
                </c:pt>
                <c:pt idx="2">
                  <c:v>Dresses</c:v>
                </c:pt>
                <c:pt idx="3">
                  <c:v>Knitwear</c:v>
                </c:pt>
                <c:pt idx="4">
                  <c:v>Outerwear</c:v>
                </c:pt>
                <c:pt idx="5">
                  <c:v>Shirts</c:v>
                </c:pt>
                <c:pt idx="6">
                  <c:v>Knit Dresses</c:v>
                </c:pt>
                <c:pt idx="7">
                  <c:v>Basics</c:v>
                </c:pt>
                <c:pt idx="8">
                  <c:v>Skirts</c:v>
                </c:pt>
                <c:pt idx="9">
                  <c:v>Pyjamas</c:v>
                </c:pt>
                <c:pt idx="10">
                  <c:v>Bottoms</c:v>
                </c:pt>
              </c:strCache>
            </c:strRef>
          </c:cat>
          <c:val>
            <c:numRef>
              <c:f>'Sales by Categories'!$C$12:$C$23</c:f>
              <c:numCache>
                <c:formatCode>_(* #,##0_);_(* \(#,##0\);_(* "-"??_);_(@_)</c:formatCode>
                <c:ptCount val="11"/>
                <c:pt idx="0">
                  <c:v>193451000</c:v>
                </c:pt>
                <c:pt idx="1">
                  <c:v>110068750</c:v>
                </c:pt>
                <c:pt idx="2">
                  <c:v>76313750</c:v>
                </c:pt>
                <c:pt idx="3">
                  <c:v>53918500</c:v>
                </c:pt>
                <c:pt idx="4">
                  <c:v>49078750</c:v>
                </c:pt>
                <c:pt idx="5">
                  <c:v>28173300</c:v>
                </c:pt>
                <c:pt idx="6">
                  <c:v>25104000</c:v>
                </c:pt>
                <c:pt idx="7">
                  <c:v>19661250</c:v>
                </c:pt>
                <c:pt idx="8">
                  <c:v>18708500</c:v>
                </c:pt>
                <c:pt idx="9">
                  <c:v>11001000</c:v>
                </c:pt>
                <c:pt idx="10">
                  <c:v>8235500</c:v>
                </c:pt>
              </c:numCache>
            </c:numRef>
          </c:val>
          <c:extLst>
            <c:ext xmlns:c16="http://schemas.microsoft.com/office/drawing/2014/chart" uri="{C3380CC4-5D6E-409C-BE32-E72D297353CC}">
              <c16:uniqueId val="{00000000-C5C4-48D3-8838-3BA2F9A357F1}"/>
            </c:ext>
          </c:extLst>
        </c:ser>
        <c:ser>
          <c:idx val="1"/>
          <c:order val="1"/>
          <c:tx>
            <c:strRef>
              <c:f>'Sales by Categories'!$D$11</c:f>
              <c:strCache>
                <c:ptCount val="1"/>
                <c:pt idx="0">
                  <c:v>Sum of Qty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'Sales by Categories'!$B$12:$B$23</c:f>
              <c:strCache>
                <c:ptCount val="11"/>
                <c:pt idx="0">
                  <c:v>Co-ord Sets</c:v>
                </c:pt>
                <c:pt idx="1">
                  <c:v>Sweatshirts</c:v>
                </c:pt>
                <c:pt idx="2">
                  <c:v>Dresses</c:v>
                </c:pt>
                <c:pt idx="3">
                  <c:v>Knitwear</c:v>
                </c:pt>
                <c:pt idx="4">
                  <c:v>Outerwear</c:v>
                </c:pt>
                <c:pt idx="5">
                  <c:v>Shirts</c:v>
                </c:pt>
                <c:pt idx="6">
                  <c:v>Knit Dresses</c:v>
                </c:pt>
                <c:pt idx="7">
                  <c:v>Basics</c:v>
                </c:pt>
                <c:pt idx="8">
                  <c:v>Skirts</c:v>
                </c:pt>
                <c:pt idx="9">
                  <c:v>Pyjamas</c:v>
                </c:pt>
                <c:pt idx="10">
                  <c:v>Bottoms</c:v>
                </c:pt>
              </c:strCache>
            </c:strRef>
          </c:cat>
          <c:val>
            <c:numRef>
              <c:f>'Sales by Categories'!$D$12:$D$23</c:f>
              <c:numCache>
                <c:formatCode>General</c:formatCode>
                <c:ptCount val="11"/>
                <c:pt idx="0">
                  <c:v>466</c:v>
                </c:pt>
                <c:pt idx="1">
                  <c:v>518</c:v>
                </c:pt>
                <c:pt idx="2">
                  <c:v>251</c:v>
                </c:pt>
                <c:pt idx="3">
                  <c:v>206</c:v>
                </c:pt>
                <c:pt idx="4">
                  <c:v>129</c:v>
                </c:pt>
                <c:pt idx="5">
                  <c:v>148</c:v>
                </c:pt>
                <c:pt idx="6">
                  <c:v>80</c:v>
                </c:pt>
                <c:pt idx="7">
                  <c:v>193</c:v>
                </c:pt>
                <c:pt idx="8">
                  <c:v>113</c:v>
                </c:pt>
                <c:pt idx="9">
                  <c:v>50</c:v>
                </c:pt>
                <c:pt idx="10">
                  <c:v>47</c:v>
                </c:pt>
              </c:numCache>
            </c:numRef>
          </c:val>
          <c:extLst>
            <c:ext xmlns:c16="http://schemas.microsoft.com/office/drawing/2014/chart" uri="{C3380CC4-5D6E-409C-BE32-E72D297353CC}">
              <c16:uniqueId val="{00000001-C5C4-48D3-8838-3BA2F9A357F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Category (IRR) —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2E75B6"/>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6869-4F94-B931-886C79381916}"/>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Categories'!$T$8:$T$18</c:f>
              <c:strCache>
                <c:ptCount val="11"/>
                <c:pt idx="0">
                  <c:v>Co-ord Sets</c:v>
                </c:pt>
                <c:pt idx="1">
                  <c:v>Sweatshirts</c:v>
                </c:pt>
                <c:pt idx="2">
                  <c:v>Dresses</c:v>
                </c:pt>
                <c:pt idx="3">
                  <c:v>Knitwear</c:v>
                </c:pt>
                <c:pt idx="4">
                  <c:v>Outerwear</c:v>
                </c:pt>
                <c:pt idx="5">
                  <c:v>Shirts</c:v>
                </c:pt>
                <c:pt idx="6">
                  <c:v>Knit Dresses</c:v>
                </c:pt>
                <c:pt idx="7">
                  <c:v>Basics</c:v>
                </c:pt>
                <c:pt idx="8">
                  <c:v>Skirts</c:v>
                </c:pt>
                <c:pt idx="9">
                  <c:v>Pyjamas</c:v>
                </c:pt>
                <c:pt idx="10">
                  <c:v>Bottoms</c:v>
                </c:pt>
              </c:strCache>
            </c:strRef>
          </c:cat>
          <c:val>
            <c:numRef>
              <c:f>'Sales by Categories'!$U$8:$U$18</c:f>
              <c:numCache>
                <c:formatCode>_(* #,##0.00_);_(* \(#,##0.00\);_(* "-"??_);_(@_)</c:formatCode>
                <c:ptCount val="11"/>
                <c:pt idx="0">
                  <c:v>193451000</c:v>
                </c:pt>
                <c:pt idx="1">
                  <c:v>110068750</c:v>
                </c:pt>
                <c:pt idx="2">
                  <c:v>76313750</c:v>
                </c:pt>
                <c:pt idx="3">
                  <c:v>53918500</c:v>
                </c:pt>
                <c:pt idx="4">
                  <c:v>49078750</c:v>
                </c:pt>
                <c:pt idx="5">
                  <c:v>28173300</c:v>
                </c:pt>
                <c:pt idx="6">
                  <c:v>25104000</c:v>
                </c:pt>
                <c:pt idx="7">
                  <c:v>19661250</c:v>
                </c:pt>
                <c:pt idx="8">
                  <c:v>18708500</c:v>
                </c:pt>
                <c:pt idx="9">
                  <c:v>11001000</c:v>
                </c:pt>
                <c:pt idx="10">
                  <c:v>8235500</c:v>
                </c:pt>
              </c:numCache>
            </c:numRef>
          </c:val>
          <c:extLst>
            <c:ext xmlns:c16="http://schemas.microsoft.com/office/drawing/2014/chart" uri="{C3380CC4-5D6E-409C-BE32-E72D297353CC}">
              <c16:uniqueId val="{00000000-6869-4F94-B931-886C79381916}"/>
            </c:ext>
          </c:extLst>
        </c:ser>
        <c:dLbls>
          <c:showLegendKey val="0"/>
          <c:showVal val="1"/>
          <c:showCatName val="0"/>
          <c:showSerName val="0"/>
          <c:showPercent val="0"/>
          <c:showBubbleSize val="0"/>
        </c:dLbls>
        <c:gapWidth val="150"/>
        <c:axId val="1340989839"/>
        <c:axId val="1340991759"/>
      </c:barChart>
      <c:catAx>
        <c:axId val="1340989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91759"/>
        <c:crosses val="autoZero"/>
        <c:auto val="1"/>
        <c:lblAlgn val="ctr"/>
        <c:lblOffset val="100"/>
        <c:noMultiLvlLbl val="0"/>
      </c:catAx>
      <c:valAx>
        <c:axId val="1340991759"/>
        <c:scaling>
          <c:orientation val="minMax"/>
        </c:scaling>
        <c:delete val="1"/>
        <c:axPos val="b"/>
        <c:numFmt formatCode="_(* #,##0.00_);_(* \(#,##0.00\);_(* &quot;-&quot;??_);_(@_)" sourceLinked="1"/>
        <c:majorTickMark val="out"/>
        <c:minorTickMark val="none"/>
        <c:tickLblPos val="nextTo"/>
        <c:crossAx val="134098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[Tankhoone-working.xlsx]Sales by Channel!PivotTable7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Channel'!$C$5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Channel'!$B$6:$B$10</c:f>
              <c:strCache>
                <c:ptCount val="4"/>
                <c:pt idx="0">
                  <c:v>Instagram DM</c:v>
                </c:pt>
                <c:pt idx="1">
                  <c:v>in-store</c:v>
                </c:pt>
                <c:pt idx="2">
                  <c:v>Website</c:v>
                </c:pt>
                <c:pt idx="3">
                  <c:v>Telegram</c:v>
                </c:pt>
              </c:strCache>
            </c:strRef>
          </c:cat>
          <c:val>
            <c:numRef>
              <c:f>'Sales by Channel'!$C$6:$C$10</c:f>
              <c:numCache>
                <c:formatCode>_(* #,##0_);_(* \(#,##0\);_(* "-"??_);_(@_)</c:formatCode>
                <c:ptCount val="4"/>
                <c:pt idx="0">
                  <c:v>233673800</c:v>
                </c:pt>
                <c:pt idx="1">
                  <c:v>171736900</c:v>
                </c:pt>
                <c:pt idx="2">
                  <c:v>94536600</c:v>
                </c:pt>
                <c:pt idx="3">
                  <c:v>68506800</c:v>
                </c:pt>
              </c:numCache>
            </c:numRef>
          </c:val>
          <c:extLst>
            <c:ext xmlns:c16="http://schemas.microsoft.com/office/drawing/2014/chart" uri="{C3380CC4-5D6E-409C-BE32-E72D297353CC}">
              <c16:uniqueId val="{00000000-1EB7-4519-873E-11AE31926609}"/>
            </c:ext>
          </c:extLst>
        </c:ser>
        <c:dLbls>
          <c:showLegendKey val="0"/>
          <c:showVal val="0"/>
          <c:showCatName val="0"/>
          <c:showSerName val="0"/>
          <c:showPercent val="0"/>
          <c:showBubbleSize val="0"/>
        </c:dLbls>
        <c:gapWidth val="182"/>
        <c:axId val="1888483711"/>
        <c:axId val="1888488991"/>
      </c:barChart>
      <c:catAx>
        <c:axId val="188848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88991"/>
        <c:crosses val="autoZero"/>
        <c:auto val="1"/>
        <c:lblAlgn val="ctr"/>
        <c:lblOffset val="100"/>
        <c:noMultiLvlLbl val="0"/>
      </c:catAx>
      <c:valAx>
        <c:axId val="188848899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8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SKUs by Revenue (IRR)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08D1-4226-B7A3-0CBD478C085D}"/>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SKUs by Revenue'!$O$10:$O$19</c:f>
              <c:strCache>
                <c:ptCount val="10"/>
                <c:pt idx="0">
                  <c:v>Beige Co-ord Set</c:v>
                </c:pt>
                <c:pt idx="1">
                  <c:v>Sage Green Co-ord</c:v>
                </c:pt>
                <c:pt idx="2">
                  <c:v>Orange Linen Set</c:v>
                </c:pt>
                <c:pt idx="3">
                  <c:v>Khaki Cargo Jacket</c:v>
                </c:pt>
                <c:pt idx="4">
                  <c:v>Pink Sweatshirt</c:v>
                </c:pt>
                <c:pt idx="5">
                  <c:v>Olive Sweatshirt</c:v>
                </c:pt>
                <c:pt idx="6">
                  <c:v>Floral Print Dress</c:v>
                </c:pt>
                <c:pt idx="7">
                  <c:v>Burgundy Knit Dress</c:v>
                </c:pt>
                <c:pt idx="8">
                  <c:v>Cable Knit Vest White</c:v>
                </c:pt>
                <c:pt idx="9">
                  <c:v>Rust Co-ord Set</c:v>
                </c:pt>
              </c:strCache>
            </c:strRef>
          </c:cat>
          <c:val>
            <c:numRef>
              <c:f>'Top 10 SKUs by Revenue'!$P$10:$P$19</c:f>
              <c:numCache>
                <c:formatCode>_(* #,##0.00_);_(* \(#,##0.00\);_(* "-"??_);_(@_)</c:formatCode>
                <c:ptCount val="10"/>
                <c:pt idx="0">
                  <c:v>69678000</c:v>
                </c:pt>
                <c:pt idx="1">
                  <c:v>51621500</c:v>
                </c:pt>
                <c:pt idx="2">
                  <c:v>50094000</c:v>
                </c:pt>
                <c:pt idx="3">
                  <c:v>49078750</c:v>
                </c:pt>
                <c:pt idx="4">
                  <c:v>40513000</c:v>
                </c:pt>
                <c:pt idx="5">
                  <c:v>27563000</c:v>
                </c:pt>
                <c:pt idx="6">
                  <c:v>27494000</c:v>
                </c:pt>
                <c:pt idx="7">
                  <c:v>25104000</c:v>
                </c:pt>
                <c:pt idx="8">
                  <c:v>25012000</c:v>
                </c:pt>
                <c:pt idx="9">
                  <c:v>22057500</c:v>
                </c:pt>
              </c:numCache>
            </c:numRef>
          </c:val>
          <c:extLst>
            <c:ext xmlns:c16="http://schemas.microsoft.com/office/drawing/2014/chart" uri="{C3380CC4-5D6E-409C-BE32-E72D297353CC}">
              <c16:uniqueId val="{00000000-08D1-4226-B7A3-0CBD478C085D}"/>
            </c:ext>
          </c:extLst>
        </c:ser>
        <c:dLbls>
          <c:showLegendKey val="0"/>
          <c:showVal val="0"/>
          <c:showCatName val="0"/>
          <c:showSerName val="0"/>
          <c:showPercent val="0"/>
          <c:showBubbleSize val="0"/>
        </c:dLbls>
        <c:gapWidth val="182"/>
        <c:axId val="1400915919"/>
        <c:axId val="1400913999"/>
      </c:barChart>
      <c:catAx>
        <c:axId val="140091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13999"/>
        <c:crosses val="autoZero"/>
        <c:auto val="1"/>
        <c:lblAlgn val="ctr"/>
        <c:lblOffset val="100"/>
        <c:noMultiLvlLbl val="0"/>
      </c:catAx>
      <c:valAx>
        <c:axId val="1400913999"/>
        <c:scaling>
          <c:orientation val="minMax"/>
        </c:scaling>
        <c:delete val="1"/>
        <c:axPos val="b"/>
        <c:numFmt formatCode="_(* #,##0.00_);_(* \(#,##0.00\);_(* &quot;-&quot;??_);_(@_)" sourceLinked="1"/>
        <c:majorTickMark val="none"/>
        <c:minorTickMark val="none"/>
        <c:tickLblPos val="nextTo"/>
        <c:crossAx val="140091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ABC vs GMROI Classification — 40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'Financial Analysis'!$S$5</c:f>
              <c:strCache>
                <c:ptCount val="1"/>
                <c:pt idx="0">
                  <c:v>Revenue ABC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Analysis'!$R$6:$R$8</c:f>
              <c:strCache>
                <c:ptCount val="3"/>
                <c:pt idx="0">
                  <c:v>Class A</c:v>
                </c:pt>
                <c:pt idx="1">
                  <c:v>Class B</c:v>
                </c:pt>
                <c:pt idx="2">
                  <c:v>Class C</c:v>
                </c:pt>
              </c:strCache>
            </c:strRef>
          </c:cat>
          <c:val>
            <c:numRef>
              <c:f>'Financial Analysis'!$S$6:$S$8</c:f>
              <c:numCache>
                <c:formatCode>General</c:formatCode>
                <c:ptCount val="3"/>
                <c:pt idx="0">
                  <c:v>20</c:v>
                </c:pt>
                <c:pt idx="1">
                  <c:v>12</c:v>
                </c:pt>
                <c:pt idx="2">
                  <c:v>8</c:v>
                </c:pt>
              </c:numCache>
            </c:numRef>
          </c:val>
          <c:extLst>
            <c:ext xmlns:c16="http://schemas.microsoft.com/office/drawing/2014/chart" uri="{C3380CC4-5D6E-409C-BE32-E72D297353CC}">
              <c16:uniqueId val="{00000000-DC63-4660-A2A9-EAF4C1275B9B}"/>
            </c:ext>
          </c:extLst>
        </c:ser>
        <c:ser>
          <c:idx val="1"/>
          <c:order val="1"/>
          <c:tx>
            <c:strRef>
              <c:f>'Financial Analysis'!$T$5</c:f>
              <c:strCache>
                <c:ptCount val="1"/>
                <c:pt idx="0">
                  <c:v>GMROI Class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Analysis'!$R$6:$R$8</c:f>
              <c:strCache>
                <c:ptCount val="3"/>
                <c:pt idx="0">
                  <c:v>Class A</c:v>
                </c:pt>
                <c:pt idx="1">
                  <c:v>Class B</c:v>
                </c:pt>
                <c:pt idx="2">
                  <c:v>Class C</c:v>
                </c:pt>
              </c:strCache>
            </c:strRef>
          </c:cat>
          <c:val>
            <c:numRef>
              <c:f>'Financial Analysis'!$T$6:$T$8</c:f>
              <c:numCache>
                <c:formatCode>General</c:formatCode>
                <c:ptCount val="3"/>
                <c:pt idx="0">
                  <c:v>5</c:v>
                </c:pt>
                <c:pt idx="1">
                  <c:v>13</c:v>
                </c:pt>
                <c:pt idx="2">
                  <c:v>22</c:v>
                </c:pt>
              </c:numCache>
            </c:numRef>
          </c:val>
          <c:extLst>
            <c:ext xmlns:c16="http://schemas.microsoft.com/office/drawing/2014/chart" uri="{C3380CC4-5D6E-409C-BE32-E72D297353CC}">
              <c16:uniqueId val="{00000001-DC63-4660-A2A9-EAF4C1275B9B}"/>
            </c:ext>
          </c:extLst>
        </c:ser>
        <c:dLbls>
          <c:showLegendKey val="0"/>
          <c:showVal val="0"/>
          <c:showCatName val="0"/>
          <c:showSerName val="0"/>
          <c:showPercent val="0"/>
          <c:showBubbleSize val="0"/>
        </c:dLbls>
        <c:gapWidth val="182"/>
        <c:axId val="1620586815"/>
        <c:axId val="1620587775"/>
      </c:barChart>
      <c:catAx>
        <c:axId val="162058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87775"/>
        <c:crosses val="autoZero"/>
        <c:auto val="1"/>
        <c:lblAlgn val="ctr"/>
        <c:lblOffset val="100"/>
        <c:noMultiLvlLbl val="0"/>
      </c:catAx>
      <c:valAx>
        <c:axId val="1620587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86815"/>
        <c:crosses val="autoZero"/>
        <c:crossBetween val="between"/>
      </c:valAx>
      <c:spPr>
        <a:noFill/>
        <a:ln>
          <a:noFill/>
        </a:ln>
        <a:effectLst/>
      </c:spPr>
    </c:plotArea>
    <c:legend>
      <c:legendPos val="b"/>
      <c:layout>
        <c:manualLayout>
          <c:xMode val="edge"/>
          <c:yMode val="edge"/>
          <c:x val="0.19058744864546906"/>
          <c:y val="0.88748838193059654"/>
          <c:w val="0.61128667454723573"/>
          <c:h val="0.112511618069403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878416</xdr:colOff>
      <xdr:row>16</xdr:row>
      <xdr:rowOff>95250</xdr:rowOff>
    </xdr:from>
    <xdr:to>
      <xdr:col>7</xdr:col>
      <xdr:colOff>116417</xdr:colOff>
      <xdr:row>34</xdr:row>
      <xdr:rowOff>107156</xdr:rowOff>
    </xdr:to>
    <xdr:graphicFrame macro="">
      <xdr:nvGraphicFramePr>
        <xdr:cNvPr id="6" name="Chart 5">
          <a:extLst>
            <a:ext uri="{FF2B5EF4-FFF2-40B4-BE49-F238E27FC236}">
              <a16:creationId xmlns:a16="http://schemas.microsoft.com/office/drawing/2014/main" id="{93FE2B78-619E-CD86-4093-66E14D242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561974</xdr:colOff>
      <xdr:row>16</xdr:row>
      <xdr:rowOff>108479</xdr:rowOff>
    </xdr:from>
    <xdr:ext cx="4810126" cy="1009650"/>
    <xdr:sp macro="" textlink="">
      <xdr:nvSpPr>
        <xdr:cNvPr id="7" name="TextBox 6">
          <a:extLst>
            <a:ext uri="{FF2B5EF4-FFF2-40B4-BE49-F238E27FC236}">
              <a16:creationId xmlns:a16="http://schemas.microsoft.com/office/drawing/2014/main" id="{C2171B46-3388-3BC6-EEB3-9FBCA5989311}"/>
            </a:ext>
          </a:extLst>
        </xdr:cNvPr>
        <xdr:cNvSpPr txBox="1"/>
      </xdr:nvSpPr>
      <xdr:spPr>
        <a:xfrm>
          <a:off x="6287557" y="4098396"/>
          <a:ext cx="4810126"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March 2023 recorded peak revenue driven by Nowruz gifting demand. August was the slowest month, likely reflecting reduced fashion shopping during peak summer heat. Seasonal pattern suggests front-loading inventory in Q1.</a:t>
          </a:r>
        </a:p>
      </xdr:txBody>
    </xdr:sp>
    <xdr:clientData/>
  </xdr:oneCellAnchor>
  <xdr:oneCellAnchor>
    <xdr:from>
      <xdr:col>7</xdr:col>
      <xdr:colOff>242887</xdr:colOff>
      <xdr:row>28</xdr:row>
      <xdr:rowOff>85195</xdr:rowOff>
    </xdr:from>
    <xdr:ext cx="5295900" cy="1219200"/>
    <xdr:sp macro="" textlink="">
      <xdr:nvSpPr>
        <xdr:cNvPr id="8" name="TextBox 7">
          <a:extLst>
            <a:ext uri="{FF2B5EF4-FFF2-40B4-BE49-F238E27FC236}">
              <a16:creationId xmlns:a16="http://schemas.microsoft.com/office/drawing/2014/main" id="{7606AD70-4386-E3D3-BF44-B457BFCF4B89}"/>
            </a:ext>
          </a:extLst>
        </xdr:cNvPr>
        <xdr:cNvSpPr txBox="1"/>
      </xdr:nvSpPr>
      <xdr:spPr>
        <a:xfrm>
          <a:off x="5968470" y="6234112"/>
          <a:ext cx="5295900" cy="1219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Order volume and units sold mirror the revenue pattern, confirming March Nowruz spike is driven by genuine transaction volume — not just higher prices. August recorded the fewest orders and units sold across the year.</a:t>
          </a:r>
        </a:p>
      </xdr:txBody>
    </xdr:sp>
    <xdr:clientData/>
  </xdr:oneCellAnchor>
  <xdr:twoCellAnchor editAs="oneCell">
    <xdr:from>
      <xdr:col>5</xdr:col>
      <xdr:colOff>357714</xdr:colOff>
      <xdr:row>1</xdr:row>
      <xdr:rowOff>1190093</xdr:rowOff>
    </xdr:from>
    <xdr:to>
      <xdr:col>14</xdr:col>
      <xdr:colOff>582083</xdr:colOff>
      <xdr:row>15</xdr:row>
      <xdr:rowOff>141855</xdr:rowOff>
    </xdr:to>
    <xdr:pic>
      <xdr:nvPicPr>
        <xdr:cNvPr id="37" name="Picture 36">
          <a:extLst>
            <a:ext uri="{FF2B5EF4-FFF2-40B4-BE49-F238E27FC236}">
              <a16:creationId xmlns:a16="http://schemas.microsoft.com/office/drawing/2014/main" id="{543E86DE-E63C-667E-22C1-A4330323B484}"/>
            </a:ext>
          </a:extLst>
        </xdr:cNvPr>
        <xdr:cNvPicPr>
          <a:picLocks noChangeAspect="1"/>
        </xdr:cNvPicPr>
      </xdr:nvPicPr>
      <xdr:blipFill>
        <a:blip xmlns:r="http://schemas.openxmlformats.org/officeDocument/2006/relationships" r:embed="rId2"/>
        <a:stretch>
          <a:fillRect/>
        </a:stretch>
      </xdr:blipFill>
      <xdr:spPr>
        <a:xfrm>
          <a:off x="4792131" y="1370010"/>
          <a:ext cx="6034619" cy="25818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3</xdr:row>
      <xdr:rowOff>180973</xdr:rowOff>
    </xdr:from>
    <xdr:to>
      <xdr:col>15</xdr:col>
      <xdr:colOff>57149</xdr:colOff>
      <xdr:row>24</xdr:row>
      <xdr:rowOff>57149</xdr:rowOff>
    </xdr:to>
    <xdr:graphicFrame macro="">
      <xdr:nvGraphicFramePr>
        <xdr:cNvPr id="4" name="Chart 3">
          <a:extLst>
            <a:ext uri="{FF2B5EF4-FFF2-40B4-BE49-F238E27FC236}">
              <a16:creationId xmlns:a16="http://schemas.microsoft.com/office/drawing/2014/main" id="{0386D95A-029D-967F-0781-992147ACA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866774</xdr:colOff>
      <xdr:row>24</xdr:row>
      <xdr:rowOff>133350</xdr:rowOff>
    </xdr:from>
    <xdr:to>
      <xdr:col>4</xdr:col>
      <xdr:colOff>228599</xdr:colOff>
      <xdr:row>30</xdr:row>
      <xdr:rowOff>95250</xdr:rowOff>
    </xdr:to>
    <xdr:sp macro="" textlink="">
      <xdr:nvSpPr>
        <xdr:cNvPr id="5" name="TextBox 4">
          <a:extLst>
            <a:ext uri="{FF2B5EF4-FFF2-40B4-BE49-F238E27FC236}">
              <a16:creationId xmlns:a16="http://schemas.microsoft.com/office/drawing/2014/main" id="{170EEDA5-4B07-EADF-D8E1-2C43DFA42F90}"/>
            </a:ext>
          </a:extLst>
        </xdr:cNvPr>
        <xdr:cNvSpPr txBox="1"/>
      </xdr:nvSpPr>
      <xdr:spPr>
        <a:xfrm>
          <a:off x="866774" y="4838700"/>
          <a:ext cx="3057525" cy="104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Co-ord Sets generated the highest revenue and highest unit volume (466 units) in 2023. As both the top revenue and top quantity category, it should be prioritized for stock protection, early reordering, and assortment expansion.</a:t>
          </a:r>
        </a:p>
      </xdr:txBody>
    </xdr:sp>
    <xdr:clientData/>
  </xdr:twoCellAnchor>
  <xdr:twoCellAnchor>
    <xdr:from>
      <xdr:col>5</xdr:col>
      <xdr:colOff>57151</xdr:colOff>
      <xdr:row>24</xdr:row>
      <xdr:rowOff>85725</xdr:rowOff>
    </xdr:from>
    <xdr:to>
      <xdr:col>10</xdr:col>
      <xdr:colOff>123825</xdr:colOff>
      <xdr:row>30</xdr:row>
      <xdr:rowOff>47625</xdr:rowOff>
    </xdr:to>
    <xdr:sp macro="" textlink="">
      <xdr:nvSpPr>
        <xdr:cNvPr id="7" name="TextBox 6">
          <a:extLst>
            <a:ext uri="{FF2B5EF4-FFF2-40B4-BE49-F238E27FC236}">
              <a16:creationId xmlns:a16="http://schemas.microsoft.com/office/drawing/2014/main" id="{CFE5375E-0C33-40AD-9EAF-EC634FDF0BFC}"/>
            </a:ext>
          </a:extLst>
        </xdr:cNvPr>
        <xdr:cNvSpPr txBox="1"/>
      </xdr:nvSpPr>
      <xdr:spPr>
        <a:xfrm>
          <a:off x="4400551" y="4791075"/>
          <a:ext cx="3305174" cy="1047750"/>
        </a:xfrm>
        <a:prstGeom prst="rect">
          <a:avLst/>
        </a:prstGeom>
        <a:solidFill>
          <a:srgbClr val="FFFFFF"/>
        </a:solidFill>
        <a:ln w="9525" cmpd="sng">
          <a:solidFill>
            <a:srgbClr val="FFFFFF">
              <a:shade val="50000"/>
            </a:srgb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mn-lt"/>
              <a:ea typeface="+mn-ea"/>
              <a:cs typeface="+mn-cs"/>
            </a:rPr>
            <a:t>Bottoms recorded the lowest revenue and lowest unit volume (47 units) across all categories. This signals either weak customer demand or insufficient assortment depth. Recommend reviewing SKU count and pricing strategy before next buying cycle.</a:t>
          </a:r>
        </a:p>
      </xdr:txBody>
    </xdr:sp>
    <xdr:clientData/>
  </xdr:twoCellAnchor>
  <xdr:twoCellAnchor>
    <xdr:from>
      <xdr:col>10</xdr:col>
      <xdr:colOff>466725</xdr:colOff>
      <xdr:row>24</xdr:row>
      <xdr:rowOff>57150</xdr:rowOff>
    </xdr:from>
    <xdr:to>
      <xdr:col>15</xdr:col>
      <xdr:colOff>257175</xdr:colOff>
      <xdr:row>30</xdr:row>
      <xdr:rowOff>19050</xdr:rowOff>
    </xdr:to>
    <xdr:sp macro="" textlink="">
      <xdr:nvSpPr>
        <xdr:cNvPr id="8" name="TextBox 7">
          <a:extLst>
            <a:ext uri="{FF2B5EF4-FFF2-40B4-BE49-F238E27FC236}">
              <a16:creationId xmlns:a16="http://schemas.microsoft.com/office/drawing/2014/main" id="{B3026AC9-4E59-4A73-88B2-9387E7255F3A}"/>
            </a:ext>
          </a:extLst>
        </xdr:cNvPr>
        <xdr:cNvSpPr txBox="1"/>
      </xdr:nvSpPr>
      <xdr:spPr>
        <a:xfrm>
          <a:off x="8048625" y="4762500"/>
          <a:ext cx="3028950" cy="1047750"/>
        </a:xfrm>
        <a:prstGeom prst="rect">
          <a:avLst/>
        </a:prstGeom>
        <a:solidFill>
          <a:srgbClr val="FFFFFF"/>
        </a:solidFill>
        <a:ln w="9525" cmpd="sng">
          <a:solidFill>
            <a:srgbClr val="FFFFFF">
              <a:shade val="50000"/>
            </a:srgb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Revenue and quantity rankings are consistent across all categories — no category shows high revenue with low volume or vice versa. This suggests pricing is well calibrated across the assortment.</a:t>
          </a:r>
          <a:endParaRPr kumimoji="0" lang="en-US" sz="1100" b="0" i="0" u="none" strike="noStrike" kern="0" cap="none" spc="0" normalizeH="0" baseline="0" noProof="0">
            <a:ln>
              <a:noFill/>
            </a:ln>
            <a:solidFill>
              <a:srgbClr val="000000"/>
            </a:solidFill>
            <a:effectLst/>
            <a:uLnTx/>
            <a:uFillTx/>
            <a:latin typeface="+mn-lt"/>
            <a:ea typeface="+mn-ea"/>
            <a:cs typeface="+mn-cs"/>
          </a:endParaRPr>
        </a:p>
      </xdr:txBody>
    </xdr:sp>
    <xdr:clientData/>
  </xdr:twoCellAnchor>
  <xdr:twoCellAnchor>
    <xdr:from>
      <xdr:col>16</xdr:col>
      <xdr:colOff>-1</xdr:colOff>
      <xdr:row>18</xdr:row>
      <xdr:rowOff>154782</xdr:rowOff>
    </xdr:from>
    <xdr:to>
      <xdr:col>28</xdr:col>
      <xdr:colOff>47625</xdr:colOff>
      <xdr:row>46</xdr:row>
      <xdr:rowOff>171450</xdr:rowOff>
    </xdr:to>
    <xdr:graphicFrame macro="">
      <xdr:nvGraphicFramePr>
        <xdr:cNvPr id="10" name="Chart 9">
          <a:extLst>
            <a:ext uri="{FF2B5EF4-FFF2-40B4-BE49-F238E27FC236}">
              <a16:creationId xmlns:a16="http://schemas.microsoft.com/office/drawing/2014/main" id="{9E452704-1095-0EFD-3162-A0A12CF86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38099</xdr:colOff>
      <xdr:row>3</xdr:row>
      <xdr:rowOff>171449</xdr:rowOff>
    </xdr:from>
    <xdr:to>
      <xdr:col>11</xdr:col>
      <xdr:colOff>285750</xdr:colOff>
      <xdr:row>19</xdr:row>
      <xdr:rowOff>19049</xdr:rowOff>
    </xdr:to>
    <xdr:graphicFrame macro="">
      <xdr:nvGraphicFramePr>
        <xdr:cNvPr id="2" name="Chart 1">
          <a:extLst>
            <a:ext uri="{FF2B5EF4-FFF2-40B4-BE49-F238E27FC236}">
              <a16:creationId xmlns:a16="http://schemas.microsoft.com/office/drawing/2014/main" id="{600DDD5A-B3FA-E563-67A7-F5DA23DA6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809624</xdr:colOff>
      <xdr:row>11</xdr:row>
      <xdr:rowOff>9523</xdr:rowOff>
    </xdr:from>
    <xdr:to>
      <xdr:col>3</xdr:col>
      <xdr:colOff>9524</xdr:colOff>
      <xdr:row>19</xdr:row>
      <xdr:rowOff>66674</xdr:rowOff>
    </xdr:to>
    <xdr:sp macro="" textlink="">
      <xdr:nvSpPr>
        <xdr:cNvPr id="3" name="TextBox 2">
          <a:extLst>
            <a:ext uri="{FF2B5EF4-FFF2-40B4-BE49-F238E27FC236}">
              <a16:creationId xmlns:a16="http://schemas.microsoft.com/office/drawing/2014/main" id="{E0300DDC-9565-A8DB-1595-F844E4AEB011}"/>
            </a:ext>
          </a:extLst>
        </xdr:cNvPr>
        <xdr:cNvSpPr txBox="1"/>
      </xdr:nvSpPr>
      <xdr:spPr>
        <a:xfrm>
          <a:off x="809624" y="2000248"/>
          <a:ext cx="2924175" cy="1504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Instagram DM dominates revenue, confirming social commerce as Tankhoone's primary channel. Investment in Instagram content and response time directly impacts revenue.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161746</xdr:colOff>
      <xdr:row>6</xdr:row>
      <xdr:rowOff>22733</xdr:rowOff>
    </xdr:from>
    <xdr:to>
      <xdr:col>13</xdr:col>
      <xdr:colOff>27497</xdr:colOff>
      <xdr:row>21</xdr:row>
      <xdr:rowOff>103775</xdr:rowOff>
    </xdr:to>
    <xdr:pic>
      <xdr:nvPicPr>
        <xdr:cNvPr id="4" name="Picture 3">
          <a:extLst>
            <a:ext uri="{FF2B5EF4-FFF2-40B4-BE49-F238E27FC236}">
              <a16:creationId xmlns:a16="http://schemas.microsoft.com/office/drawing/2014/main" id="{8235841F-EFE9-4188-2FA6-350FB4D4DD05}"/>
            </a:ext>
          </a:extLst>
        </xdr:cNvPr>
        <xdr:cNvPicPr>
          <a:picLocks noChangeAspect="1"/>
        </xdr:cNvPicPr>
      </xdr:nvPicPr>
      <xdr:blipFill>
        <a:blip xmlns:r="http://schemas.openxmlformats.org/officeDocument/2006/relationships" r:embed="rId1"/>
        <a:stretch>
          <a:fillRect/>
        </a:stretch>
      </xdr:blipFill>
      <xdr:spPr>
        <a:xfrm>
          <a:off x="6011534" y="1101035"/>
          <a:ext cx="5036838" cy="2772035"/>
        </a:xfrm>
        <a:prstGeom prst="rect">
          <a:avLst/>
        </a:prstGeom>
      </xdr:spPr>
    </xdr:pic>
    <xdr:clientData/>
  </xdr:twoCellAnchor>
  <xdr:twoCellAnchor>
    <xdr:from>
      <xdr:col>2</xdr:col>
      <xdr:colOff>494222</xdr:colOff>
      <xdr:row>22</xdr:row>
      <xdr:rowOff>85633</xdr:rowOff>
    </xdr:from>
    <xdr:to>
      <xdr:col>12</xdr:col>
      <xdr:colOff>278561</xdr:colOff>
      <xdr:row>27</xdr:row>
      <xdr:rowOff>49692</xdr:rowOff>
    </xdr:to>
    <xdr:sp macro="" textlink="">
      <xdr:nvSpPr>
        <xdr:cNvPr id="5" name="TextBox 4">
          <a:extLst>
            <a:ext uri="{FF2B5EF4-FFF2-40B4-BE49-F238E27FC236}">
              <a16:creationId xmlns:a16="http://schemas.microsoft.com/office/drawing/2014/main" id="{569715BE-B33D-8DF6-7136-E6E1B0F6ECF4}"/>
            </a:ext>
          </a:extLst>
        </xdr:cNvPr>
        <xdr:cNvSpPr txBox="1"/>
      </xdr:nvSpPr>
      <xdr:spPr>
        <a:xfrm>
          <a:off x="3064175" y="4039407"/>
          <a:ext cx="7593042" cy="862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he top 3 revenue SKUs are all Co-ord Sets, confirming category-level dominance is driven by specific hero products rather than a broad assortment. Beige Co-ord Set alone generated 69.6M IRR. These 3 SKUs should be treated as priority A-items for stock protection and reordering.</a:t>
          </a:r>
        </a:p>
      </xdr:txBody>
    </xdr:sp>
    <xdr:clientData/>
  </xdr:twoCellAnchor>
  <xdr:twoCellAnchor>
    <xdr:from>
      <xdr:col>2</xdr:col>
      <xdr:colOff>476250</xdr:colOff>
      <xdr:row>27</xdr:row>
      <xdr:rowOff>161745</xdr:rowOff>
    </xdr:from>
    <xdr:to>
      <xdr:col>12</xdr:col>
      <xdr:colOff>278561</xdr:colOff>
      <xdr:row>31</xdr:row>
      <xdr:rowOff>134788</xdr:rowOff>
    </xdr:to>
    <xdr:sp macro="" textlink="">
      <xdr:nvSpPr>
        <xdr:cNvPr id="8" name="TextBox 7">
          <a:extLst>
            <a:ext uri="{FF2B5EF4-FFF2-40B4-BE49-F238E27FC236}">
              <a16:creationId xmlns:a16="http://schemas.microsoft.com/office/drawing/2014/main" id="{FBDD19D1-88D5-4158-8F8F-09B203E7FACF}"/>
            </a:ext>
          </a:extLst>
        </xdr:cNvPr>
        <xdr:cNvSpPr txBox="1"/>
      </xdr:nvSpPr>
      <xdr:spPr>
        <a:xfrm>
          <a:off x="3046203" y="5014103"/>
          <a:ext cx="7611014" cy="691911"/>
        </a:xfrm>
        <a:prstGeom prst="rect">
          <a:avLst/>
        </a:prstGeom>
        <a:solidFill>
          <a:srgbClr val="FFFFFF"/>
        </a:solidFill>
        <a:ln w="9525" cmpd="sng">
          <a:solidFill>
            <a:srgbClr val="FFFFFF">
              <a:shade val="50000"/>
            </a:srgb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t>I found that revenue drops sharply after the top 4-5 SKUs, which signals concentration risk. I recommended prioritizing safety stock and reorder triggers for those hero products.</a:t>
          </a:r>
          <a:endParaRPr kumimoji="0" lang="en-US" sz="1400" b="0" i="0" u="none" strike="noStrike" kern="0" cap="none" spc="0" normalizeH="0" baseline="0" noProof="0">
            <a:ln>
              <a:noFill/>
            </a:ln>
            <a:solidFill>
              <a:srgbClr val="000000"/>
            </a:solidFill>
            <a:effectLst/>
            <a:uLnTx/>
            <a:uFillTx/>
            <a:latin typeface="Calibri"/>
            <a:ea typeface="+mn-ea"/>
            <a:cs typeface="+mn-cs"/>
          </a:endParaRPr>
        </a:p>
      </xdr:txBody>
    </xdr:sp>
    <xdr:clientData/>
  </xdr:twoCellAnchor>
  <xdr:twoCellAnchor>
    <xdr:from>
      <xdr:col>13</xdr:col>
      <xdr:colOff>311715</xdr:colOff>
      <xdr:row>20</xdr:row>
      <xdr:rowOff>93632</xdr:rowOff>
    </xdr:from>
    <xdr:to>
      <xdr:col>21</xdr:col>
      <xdr:colOff>76648</xdr:colOff>
      <xdr:row>35</xdr:row>
      <xdr:rowOff>141078</xdr:rowOff>
    </xdr:to>
    <xdr:graphicFrame macro="">
      <xdr:nvGraphicFramePr>
        <xdr:cNvPr id="11" name="Chart 10">
          <a:extLst>
            <a:ext uri="{FF2B5EF4-FFF2-40B4-BE49-F238E27FC236}">
              <a16:creationId xmlns:a16="http://schemas.microsoft.com/office/drawing/2014/main" id="{90856C6B-2DDD-3E1B-BDCC-C3F1CED99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785811</xdr:colOff>
      <xdr:row>9</xdr:row>
      <xdr:rowOff>11906</xdr:rowOff>
    </xdr:from>
    <xdr:to>
      <xdr:col>24</xdr:col>
      <xdr:colOff>297655</xdr:colOff>
      <xdr:row>38</xdr:row>
      <xdr:rowOff>171449</xdr:rowOff>
    </xdr:to>
    <xdr:graphicFrame macro="">
      <xdr:nvGraphicFramePr>
        <xdr:cNvPr id="2" name="Chart 1">
          <a:extLst>
            <a:ext uri="{FF2B5EF4-FFF2-40B4-BE49-F238E27FC236}">
              <a16:creationId xmlns:a16="http://schemas.microsoft.com/office/drawing/2014/main" id="{F9E4460A-FC2F-75DF-B049-C6881157D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762000</xdr:colOff>
      <xdr:row>38</xdr:row>
      <xdr:rowOff>178592</xdr:rowOff>
    </xdr:from>
    <xdr:to>
      <xdr:col>24</xdr:col>
      <xdr:colOff>302419</xdr:colOff>
      <xdr:row>45</xdr:row>
      <xdr:rowOff>23811</xdr:rowOff>
    </xdr:to>
    <xdr:sp macro="" textlink="">
      <xdr:nvSpPr>
        <xdr:cNvPr id="3" name="TextBox 2">
          <a:extLst>
            <a:ext uri="{FF2B5EF4-FFF2-40B4-BE49-F238E27FC236}">
              <a16:creationId xmlns:a16="http://schemas.microsoft.com/office/drawing/2014/main" id="{7ED495E2-1308-D9CE-3157-904D852612B1}"/>
            </a:ext>
          </a:extLst>
        </xdr:cNvPr>
        <xdr:cNvSpPr txBox="1"/>
      </xdr:nvSpPr>
      <xdr:spPr>
        <a:xfrm>
          <a:off x="17978438" y="6965155"/>
          <a:ext cx="6743700"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GMROI reveals capital inefficiency hidden by revenue-based classification — 22 SKUs underperform when inventory investment is considered.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57150</xdr:rowOff>
    </xdr:from>
    <xdr:to>
      <xdr:col>10</xdr:col>
      <xdr:colOff>9525</xdr:colOff>
      <xdr:row>8</xdr:row>
      <xdr:rowOff>161925</xdr:rowOff>
    </xdr:to>
    <xdr:sp macro="" textlink="">
      <xdr:nvSpPr>
        <xdr:cNvPr id="2" name="TextBox 1">
          <a:extLst>
            <a:ext uri="{FF2B5EF4-FFF2-40B4-BE49-F238E27FC236}">
              <a16:creationId xmlns:a16="http://schemas.microsoft.com/office/drawing/2014/main" id="{7BDE27F3-E892-77C7-9349-FC213F32340E}"/>
            </a:ext>
          </a:extLst>
        </xdr:cNvPr>
        <xdr:cNvSpPr txBox="1"/>
      </xdr:nvSpPr>
      <xdr:spPr>
        <a:xfrm>
          <a:off x="0" y="1543050"/>
          <a:ext cx="9601200" cy="466725"/>
        </a:xfrm>
        <a:prstGeom prst="rect">
          <a:avLst/>
        </a:prstGeom>
        <a:solidFill>
          <a:srgbClr val="FCE4D6"/>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  Avg Days of Supply (12 days) is below Lead Time (14 days) — replenishment gap exists across the assortment. Immediate reorder review required for all flagged SKUs.</a:t>
          </a:r>
        </a:p>
      </xdr:txBody>
    </xdr:sp>
    <xdr:clientData/>
  </xdr:twoCellAnchor>
  <xdr:twoCellAnchor editAs="oneCell">
    <xdr:from>
      <xdr:col>0</xdr:col>
      <xdr:colOff>0</xdr:colOff>
      <xdr:row>18</xdr:row>
      <xdr:rowOff>0</xdr:rowOff>
    </xdr:from>
    <xdr:to>
      <xdr:col>5</xdr:col>
      <xdr:colOff>19049</xdr:colOff>
      <xdr:row>31</xdr:row>
      <xdr:rowOff>0</xdr:rowOff>
    </xdr:to>
    <xdr:pic>
      <xdr:nvPicPr>
        <xdr:cNvPr id="4" name="Picture 3">
          <a:extLst>
            <a:ext uri="{FF2B5EF4-FFF2-40B4-BE49-F238E27FC236}">
              <a16:creationId xmlns:a16="http://schemas.microsoft.com/office/drawing/2014/main" id="{EB4FCCE9-58D4-09F8-3F23-BEA57DF3E20E}"/>
            </a:ext>
          </a:extLst>
        </xdr:cNvPr>
        <xdr:cNvPicPr>
          <a:picLocks noChangeAspect="1"/>
        </xdr:cNvPicPr>
      </xdr:nvPicPr>
      <xdr:blipFill>
        <a:blip xmlns:r="http://schemas.openxmlformats.org/officeDocument/2006/relationships" r:embed="rId1"/>
        <a:stretch>
          <a:fillRect/>
        </a:stretch>
      </xdr:blipFill>
      <xdr:spPr>
        <a:xfrm>
          <a:off x="0" y="3695700"/>
          <a:ext cx="5781674" cy="2371725"/>
        </a:xfrm>
        <a:prstGeom prst="rect">
          <a:avLst/>
        </a:prstGeom>
      </xdr:spPr>
    </xdr:pic>
    <xdr:clientData/>
  </xdr:twoCellAnchor>
  <xdr:twoCellAnchor>
    <xdr:from>
      <xdr:col>0</xdr:col>
      <xdr:colOff>0</xdr:colOff>
      <xdr:row>30</xdr:row>
      <xdr:rowOff>171450</xdr:rowOff>
    </xdr:from>
    <xdr:to>
      <xdr:col>2</xdr:col>
      <xdr:colOff>914399</xdr:colOff>
      <xdr:row>35</xdr:row>
      <xdr:rowOff>152400</xdr:rowOff>
    </xdr:to>
    <xdr:sp macro="" textlink="">
      <xdr:nvSpPr>
        <xdr:cNvPr id="5" name="TextBox 4">
          <a:extLst>
            <a:ext uri="{FF2B5EF4-FFF2-40B4-BE49-F238E27FC236}">
              <a16:creationId xmlns:a16="http://schemas.microsoft.com/office/drawing/2014/main" id="{4B98973A-32EA-79F5-0046-6D31CC878322}"/>
            </a:ext>
          </a:extLst>
        </xdr:cNvPr>
        <xdr:cNvSpPr txBox="1"/>
      </xdr:nvSpPr>
      <xdr:spPr>
        <a:xfrm>
          <a:off x="0" y="5895975"/>
          <a:ext cx="3324224"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STAR — Protect &amp; invest</a:t>
          </a:r>
        </a:p>
        <a:p>
          <a:r>
            <a:rPr lang="en-US" sz="1100"/>
            <a:t>🔄 VOLUME DRIVER — Monitor margin  </a:t>
          </a:r>
        </a:p>
        <a:p>
          <a:r>
            <a:rPr lang="en-US" sz="1100"/>
            <a:t>💤 SLEEPER — Investigate</a:t>
          </a:r>
        </a:p>
        <a:p>
          <a:r>
            <a:rPr lang="en-US" sz="1100"/>
            <a:t>☠️ DEAD WEIGHT — Markdown or exit</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52917</xdr:colOff>
      <xdr:row>7</xdr:row>
      <xdr:rowOff>122607</xdr:rowOff>
    </xdr:from>
    <xdr:to>
      <xdr:col>10</xdr:col>
      <xdr:colOff>36512</xdr:colOff>
      <xdr:row>20</xdr:row>
      <xdr:rowOff>134408</xdr:rowOff>
    </xdr:to>
    <xdr:pic>
      <xdr:nvPicPr>
        <xdr:cNvPr id="6" name="Picture 5">
          <a:extLst>
            <a:ext uri="{FF2B5EF4-FFF2-40B4-BE49-F238E27FC236}">
              <a16:creationId xmlns:a16="http://schemas.microsoft.com/office/drawing/2014/main" id="{3693E8E2-25EB-EDB4-17A0-616485E8AAC2}"/>
            </a:ext>
          </a:extLst>
        </xdr:cNvPr>
        <xdr:cNvPicPr>
          <a:picLocks noChangeAspect="1"/>
        </xdr:cNvPicPr>
      </xdr:nvPicPr>
      <xdr:blipFill>
        <a:blip xmlns:r="http://schemas.openxmlformats.org/officeDocument/2006/relationships" r:embed="rId1"/>
        <a:stretch>
          <a:fillRect/>
        </a:stretch>
      </xdr:blipFill>
      <xdr:spPr>
        <a:xfrm>
          <a:off x="4984750" y="1773607"/>
          <a:ext cx="4449762" cy="2350718"/>
        </a:xfrm>
        <a:prstGeom prst="rect">
          <a:avLst/>
        </a:prstGeom>
      </xdr:spPr>
    </xdr:pic>
    <xdr:clientData/>
  </xdr:twoCellAnchor>
  <xdr:twoCellAnchor editAs="oneCell">
    <xdr:from>
      <xdr:col>0</xdr:col>
      <xdr:colOff>0</xdr:colOff>
      <xdr:row>21</xdr:row>
      <xdr:rowOff>137583</xdr:rowOff>
    </xdr:from>
    <xdr:to>
      <xdr:col>10</xdr:col>
      <xdr:colOff>95249</xdr:colOff>
      <xdr:row>35</xdr:row>
      <xdr:rowOff>147108</xdr:rowOff>
    </xdr:to>
    <xdr:pic>
      <xdr:nvPicPr>
        <xdr:cNvPr id="8" name="Picture 7">
          <a:extLst>
            <a:ext uri="{FF2B5EF4-FFF2-40B4-BE49-F238E27FC236}">
              <a16:creationId xmlns:a16="http://schemas.microsoft.com/office/drawing/2014/main" id="{7C1DDE12-5813-5557-91CB-86025A07510C}"/>
            </a:ext>
          </a:extLst>
        </xdr:cNvPr>
        <xdr:cNvPicPr>
          <a:picLocks noChangeAspect="1"/>
        </xdr:cNvPicPr>
      </xdr:nvPicPr>
      <xdr:blipFill>
        <a:blip xmlns:r="http://schemas.openxmlformats.org/officeDocument/2006/relationships" r:embed="rId2"/>
        <a:stretch>
          <a:fillRect/>
        </a:stretch>
      </xdr:blipFill>
      <xdr:spPr>
        <a:xfrm>
          <a:off x="0" y="4307416"/>
          <a:ext cx="9493249" cy="2528359"/>
        </a:xfrm>
        <a:prstGeom prst="rect">
          <a:avLst/>
        </a:prstGeom>
      </xdr:spPr>
    </xdr:pic>
    <xdr:clientData/>
  </xdr:twoCellAnchor>
  <xdr:twoCellAnchor editAs="oneCell">
    <xdr:from>
      <xdr:col>0</xdr:col>
      <xdr:colOff>0</xdr:colOff>
      <xdr:row>7</xdr:row>
      <xdr:rowOff>147106</xdr:rowOff>
    </xdr:from>
    <xdr:to>
      <xdr:col>4</xdr:col>
      <xdr:colOff>625476</xdr:colOff>
      <xdr:row>20</xdr:row>
      <xdr:rowOff>148166</xdr:rowOff>
    </xdr:to>
    <xdr:pic>
      <xdr:nvPicPr>
        <xdr:cNvPr id="9" name="Picture 8">
          <a:extLst>
            <a:ext uri="{FF2B5EF4-FFF2-40B4-BE49-F238E27FC236}">
              <a16:creationId xmlns:a16="http://schemas.microsoft.com/office/drawing/2014/main" id="{20F9622E-ABD4-783F-3EFA-46206D94F1CF}"/>
            </a:ext>
          </a:extLst>
        </xdr:cNvPr>
        <xdr:cNvPicPr>
          <a:picLocks noChangeAspect="1"/>
        </xdr:cNvPicPr>
      </xdr:nvPicPr>
      <xdr:blipFill>
        <a:blip xmlns:r="http://schemas.openxmlformats.org/officeDocument/2006/relationships" r:embed="rId3"/>
        <a:stretch>
          <a:fillRect/>
        </a:stretch>
      </xdr:blipFill>
      <xdr:spPr>
        <a:xfrm>
          <a:off x="0" y="1798106"/>
          <a:ext cx="4827059" cy="23399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d" refreshedDate="46092.07692349537" createdVersion="8" refreshedVersion="8" minRefreshableVersion="3" recordCount="1189" xr:uid="{03133B6D-E6F5-4140-B094-EC18BD00E084}">
  <cacheSource type="worksheet">
    <worksheetSource name="Table4"/>
  </cacheSource>
  <cacheFields count="14">
    <cacheField name="Order_ID" numFmtId="0">
      <sharedItems/>
    </cacheField>
    <cacheField name="SaleDate" numFmtId="165">
      <sharedItems containsSemiMixedTypes="0" containsNonDate="0" containsDate="1" containsString="0" minDate="2023-01-01T00:00:00" maxDate="5263-12-16T00:00:00" count="342">
        <d v="2023-05-22T00:00:00"/>
        <d v="2023-05-26T00:00:00"/>
        <d v="2023-11-18T00:00:00"/>
        <d v="2023-03-17T00:00:00"/>
        <d v="2023-05-16T00:00:00"/>
        <d v="2023-12-19T00:00:00"/>
        <d v="2023-05-18T00:00:00"/>
        <d v="2023-09-09T00:00:00"/>
        <d v="2023-07-22T00:00:00"/>
        <d v="2023-03-01T00:00:00"/>
        <d v="2023-11-09T00:00:00"/>
        <d v="2023-12-23T00:00:00"/>
        <d v="2023-04-19T00:00:00"/>
        <d v="2023-06-04T00:00:00"/>
        <d v="2023-04-15T00:00:00"/>
        <d v="2023-09-03T00:00:00"/>
        <d v="2023-04-03T00:00:00"/>
        <d v="2023-11-03T00:00:00"/>
        <d v="2023-03-20T00:00:00"/>
        <d v="2023-09-28T00:00:00"/>
        <d v="2023-03-27T00:00:00"/>
        <d v="2023-07-30T00:00:00"/>
        <d v="2023-08-01T00:00:00"/>
        <d v="2023-10-25T00:00:00"/>
        <d v="2023-11-25T00:00:00"/>
        <d v="2023-11-29T00:00:00"/>
        <d v="2023-05-13T00:00:00"/>
        <d v="2023-07-28T00:00:00"/>
        <d v="2023-11-23T00:00:00"/>
        <d v="2023-03-29T00:00:00"/>
        <d v="2023-10-05T00:00:00"/>
        <d v="2023-10-31T00:00:00"/>
        <d v="2023-09-12T00:00:00"/>
        <d v="2023-11-22T00:00:00"/>
        <d v="2023-10-22T00:00:00"/>
        <d v="2023-07-04T00:00:00"/>
        <d v="2023-09-02T00:00:00"/>
        <d v="2023-12-04T00:00:00"/>
        <d v="2023-03-11T00:00:00"/>
        <d v="2023-09-30T00:00:00"/>
        <d v="2023-05-24T00:00:00"/>
        <d v="2023-05-17T00:00:00"/>
        <d v="2023-12-18T00:00:00"/>
        <d v="2023-03-10T00:00:00"/>
        <d v="2023-03-08T00:00:00"/>
        <d v="2023-09-14T00:00:00"/>
        <d v="2023-09-27T00:00:00"/>
        <d v="2023-11-06T00:00:00"/>
        <d v="2023-03-31T00:00:00"/>
        <d v="2023-03-06T00:00:00"/>
        <d v="2023-07-06T00:00:00"/>
        <d v="2023-07-14T00:00:00"/>
        <d v="2023-08-11T00:00:00"/>
        <d v="2023-03-24T00:00:00"/>
        <d v="2023-02-03T00:00:00"/>
        <d v="2023-11-14T00:00:00"/>
        <d v="2023-07-15T00:00:00"/>
        <d v="2023-08-06T00:00:00"/>
        <d v="2023-01-08T00:00:00"/>
        <d v="2023-03-04T00:00:00"/>
        <d v="2023-11-27T00:00:00"/>
        <d v="2023-03-28T00:00:00"/>
        <d v="2023-02-11T00:00:00"/>
        <d v="2023-03-19T00:00:00"/>
        <d v="2023-11-10T00:00:00"/>
        <d v="2023-03-13T00:00:00"/>
        <d v="2023-12-11T00:00:00"/>
        <d v="2023-07-12T00:00:00"/>
        <d v="2023-03-23T00:00:00"/>
        <d v="2023-10-28T00:00:00"/>
        <d v="2023-12-01T00:00:00"/>
        <d v="2023-12-28T00:00:00"/>
        <d v="2023-10-01T00:00:00"/>
        <d v="2023-04-22T00:00:00"/>
        <d v="2023-10-19T00:00:00"/>
        <d v="2023-09-19T00:00:00"/>
        <d v="2023-10-16T00:00:00"/>
        <d v="2023-03-05T00:00:00"/>
        <d v="2023-07-27T00:00:00"/>
        <d v="2023-07-02T00:00:00"/>
        <d v="2023-02-27T00:00:00"/>
        <d v="2023-07-18T00:00:00"/>
        <d v="2023-09-13T00:00:00"/>
        <d v="2023-06-16T00:00:00"/>
        <d v="2023-07-24T00:00:00"/>
        <d v="2023-06-12T00:00:00"/>
        <d v="2023-08-27T00:00:00"/>
        <d v="2023-07-09T00:00:00"/>
        <d v="2023-01-14T00:00:00"/>
        <d v="2023-03-14T00:00:00"/>
        <d v="2023-10-10T00:00:00"/>
        <d v="2023-08-17T00:00:00"/>
        <d v="2023-03-09T00:00:00"/>
        <d v="2023-11-04T00:00:00"/>
        <d v="2023-06-25T00:00:00"/>
        <d v="2023-12-21T00:00:00"/>
        <d v="2023-05-10T00:00:00"/>
        <d v="2023-09-10T00:00:00"/>
        <d v="2023-12-08T00:00:00"/>
        <d v="2023-02-01T00:00:00"/>
        <d v="2023-05-07T00:00:00"/>
        <d v="2023-02-13T00:00:00"/>
        <d v="2023-11-19T00:00:00"/>
        <d v="2023-06-13T00:00:00"/>
        <d v="2023-06-20T00:00:00"/>
        <d v="2023-04-28T00:00:00"/>
        <d v="2023-05-27T00:00:00"/>
        <d v="2023-11-24T00:00:00"/>
        <d v="2023-12-03T00:00:00"/>
        <d v="2023-12-10T00:00:00"/>
        <d v="2023-05-12T00:00:00"/>
        <d v="2023-11-01T00:00:00"/>
        <d v="2023-02-06T00:00:00"/>
        <d v="2023-09-23T00:00:00"/>
        <d v="2023-03-16T00:00:00"/>
        <d v="2023-03-25T00:00:00"/>
        <d v="2023-12-27T00:00:00"/>
        <d v="2023-02-05T00:00:00"/>
        <d v="2023-11-08T00:00:00"/>
        <d v="2023-11-15T00:00:00"/>
        <d v="2023-10-11T00:00:00"/>
        <d v="2023-06-21T00:00:00"/>
        <d v="2023-01-03T00:00:00"/>
        <d v="2023-07-23T00:00:00"/>
        <d v="2023-07-19T00:00:00"/>
        <d v="2023-01-15T00:00:00"/>
        <d v="2023-07-21T00:00:00"/>
        <d v="2023-03-12T00:00:00"/>
        <d v="2023-06-05T00:00:00"/>
        <d v="2023-04-29T00:00:00"/>
        <d v="2023-05-23T00:00:00"/>
        <d v="2023-06-02T00:00:00"/>
        <d v="2023-04-27T00:00:00"/>
        <d v="2023-06-26T00:00:00"/>
        <d v="2023-03-21T00:00:00"/>
        <d v="2023-05-03T00:00:00"/>
        <d v="2023-03-22T00:00:00"/>
        <d v="2023-04-07T00:00:00"/>
        <d v="2023-06-03T00:00:00"/>
        <d v="2023-12-06T00:00:00"/>
        <d v="2023-09-07T00:00:00"/>
        <d v="2023-07-17T00:00:00"/>
        <d v="2023-06-11T00:00:00"/>
        <d v="2023-09-22T00:00:00"/>
        <d v="2023-02-07T00:00:00"/>
        <d v="2023-05-25T00:00:00"/>
        <d v="2023-04-08T00:00:00"/>
        <d v="2023-11-11T00:00:00"/>
        <d v="2023-09-26T00:00:00"/>
        <d v="2023-04-02T00:00:00"/>
        <d v="2023-11-20T00:00:00"/>
        <d v="2023-07-20T00:00:00"/>
        <d v="2023-05-15T00:00:00"/>
        <d v="2023-12-13T00:00:00"/>
        <d v="2023-12-20T00:00:00"/>
        <d v="2023-02-20T00:00:00"/>
        <d v="2023-07-01T00:00:00"/>
        <d v="2023-01-04T00:00:00"/>
        <d v="2023-09-01T00:00:00"/>
        <d v="2023-08-09T00:00:00"/>
        <d v="2023-11-07T00:00:00"/>
        <d v="2023-10-09T00:00:00"/>
        <d v="2023-12-05T00:00:00"/>
        <d v="2023-04-16T00:00:00"/>
        <d v="2023-10-04T00:00:00"/>
        <d v="2023-05-06T00:00:00"/>
        <d v="2023-10-17T00:00:00"/>
        <d v="2023-11-05T00:00:00"/>
        <d v="2023-12-31T00:00:00"/>
        <d v="2023-08-10T00:00:00"/>
        <d v="2023-10-21T00:00:00"/>
        <d v="2023-02-15T00:00:00"/>
        <d v="2023-04-24T00:00:00"/>
        <d v="2023-11-16T00:00:00"/>
        <d v="2023-12-14T00:00:00"/>
        <d v="2023-08-29T00:00:00"/>
        <d v="2023-12-07T00:00:00"/>
        <d v="2023-07-25T00:00:00"/>
        <d v="2023-01-10T00:00:00"/>
        <d v="2023-01-07T00:00:00"/>
        <d v="2023-12-26T00:00:00"/>
        <d v="2023-10-20T00:00:00"/>
        <d v="2023-07-05T00:00:00"/>
        <d v="2023-01-24T00:00:00"/>
        <d v="2023-02-14T00:00:00"/>
        <d v="2023-10-26T00:00:00"/>
        <d v="2023-09-06T00:00:00"/>
        <d v="2023-09-11T00:00:00"/>
        <d v="2023-11-17T00:00:00"/>
        <d v="2023-06-23T00:00:00"/>
        <d v="2023-05-01T00:00:00"/>
        <d v="2023-08-22T00:00:00"/>
        <d v="2023-04-26T00:00:00"/>
        <d v="2023-05-30T00:00:00"/>
        <d v="2023-01-29T00:00:00"/>
        <d v="2023-08-03T00:00:00"/>
        <d v="2023-02-28T00:00:00"/>
        <d v="2023-10-13T00:00:00"/>
        <d v="2023-12-15T00:00:00"/>
        <d v="2023-02-18T00:00:00"/>
        <d v="2023-12-29T00:00:00"/>
        <d v="2023-04-21T00:00:00"/>
        <d v="2023-04-09T00:00:00"/>
        <d v="2023-07-08T00:00:00"/>
        <d v="2023-08-04T00:00:00"/>
        <d v="2023-10-14T00:00:00"/>
        <d v="2023-07-07T00:00:00"/>
        <d v="2023-12-17T00:00:00"/>
        <d v="2023-05-09T00:00:00"/>
        <d v="2023-12-22T00:00:00"/>
        <d v="2023-06-27T00:00:00"/>
        <d v="2023-01-12T00:00:00"/>
        <d v="2023-04-01T00:00:00"/>
        <d v="2023-11-12T00:00:00"/>
        <d v="2023-07-31T00:00:00"/>
        <d v="2023-06-10T00:00:00"/>
        <d v="2023-02-25T00:00:00"/>
        <d v="2023-08-25T00:00:00"/>
        <d v="2023-10-07T00:00:00"/>
        <d v="2023-04-14T00:00:00"/>
        <d v="2023-04-04T00:00:00"/>
        <d v="2023-11-13T00:00:00"/>
        <d v="2023-02-17T00:00:00"/>
        <d v="2023-05-04T00:00:00"/>
        <d v="2023-10-29T00:00:00"/>
        <d v="2023-11-26T00:00:00"/>
        <d v="2023-03-26T00:00:00"/>
        <d v="2023-09-16T00:00:00"/>
        <d v="2023-05-29T00:00:00"/>
        <d v="2023-08-13T00:00:00"/>
        <d v="2023-02-22T00:00:00"/>
        <d v="2023-02-24T00:00:00"/>
        <d v="2023-04-13T00:00:00"/>
        <d v="2023-08-26T00:00:00"/>
        <d v="2023-06-14T00:00:00"/>
        <d v="2023-01-11T00:00:00"/>
        <d v="2023-11-30T00:00:00"/>
        <d v="2023-10-18T00:00:00"/>
        <d v="2023-08-31T00:00:00"/>
        <d v="2023-02-09T00:00:00"/>
        <d v="2023-08-08T00:00:00"/>
        <d v="2023-09-20T00:00:00"/>
        <d v="2023-10-27T00:00:00"/>
        <d v="2023-03-30T00:00:00"/>
        <d v="2023-12-02T00:00:00"/>
        <d v="2023-02-04T00:00:00"/>
        <d v="2023-12-24T00:00:00"/>
        <d v="2023-10-30T00:00:00"/>
        <d v="2023-07-29T00:00:00"/>
        <d v="2023-04-12T00:00:00"/>
        <d v="2023-07-13T00:00:00"/>
        <d v="2023-01-22T00:00:00"/>
        <d v="2023-08-21T00:00:00"/>
        <d v="2023-11-21T00:00:00"/>
        <d v="2023-01-09T00:00:00"/>
        <d v="2023-04-06T00:00:00"/>
        <d v="2023-06-30T00:00:00"/>
        <d v="2023-02-02T00:00:00"/>
        <d v="2023-03-02T00:00:00"/>
        <d v="2023-04-11T00:00:00"/>
        <d v="2023-04-23T00:00:00"/>
        <d v="2023-01-20T00:00:00"/>
        <d v="2023-01-25T00:00:00"/>
        <d v="2023-03-15T00:00:00"/>
        <d v="2023-12-25T00:00:00"/>
        <d v="2023-01-05T00:00:00"/>
        <d v="2023-01-16T00:00:00"/>
        <d v="2023-09-05T00:00:00"/>
        <d v="2023-08-16T00:00:00"/>
        <d v="2023-06-28T00:00:00"/>
        <d v="2023-06-08T00:00:00"/>
        <d v="2023-05-11T00:00:00"/>
        <d v="2023-01-17T00:00:00"/>
        <d v="2023-02-19T00:00:00"/>
        <d v="2023-12-16T00:00:00"/>
        <d v="2023-09-04T00:00:00"/>
        <d v="2023-10-08T00:00:00"/>
        <d v="2023-04-10T00:00:00"/>
        <d v="2023-12-09T00:00:00"/>
        <d v="2023-11-02T00:00:00"/>
        <d v="2023-06-09T00:00:00"/>
        <d v="2023-08-18T00:00:00"/>
        <d v="2023-12-30T00:00:00"/>
        <d v="2023-09-24T00:00:00"/>
        <d v="2023-04-18T00:00:00"/>
        <d v="2023-06-18T00:00:00"/>
        <d v="2023-01-01T00:00:00"/>
        <d v="2023-01-02T00:00:00"/>
        <d v="2023-08-30T00:00:00"/>
        <d v="2023-06-15T00:00:00"/>
        <d v="2023-03-07T00:00:00"/>
        <d v="2023-08-23T00:00:00"/>
        <d v="2023-05-05T00:00:00"/>
        <d v="2023-10-15T00:00:00"/>
        <d v="2023-09-25T00:00:00"/>
        <d v="2023-06-01T00:00:00"/>
        <d v="2023-09-18T00:00:00"/>
        <d v="2023-02-23T00:00:00"/>
        <d v="2023-02-12T00:00:00"/>
        <d v="2023-06-24T00:00:00"/>
        <d v="2023-08-12T00:00:00"/>
        <d v="2023-06-07T00:00:00"/>
        <d v="2023-01-23T00:00:00"/>
        <d v="2023-01-18T00:00:00"/>
        <d v="2023-01-13T00:00:00"/>
        <d v="2023-04-20T00:00:00"/>
        <d v="2023-08-15T00:00:00"/>
        <d v="2023-04-05T00:00:00"/>
        <d v="2023-11-28T00:00:00"/>
        <d v="2023-06-22T00:00:00"/>
        <d v="2023-07-16T00:00:00"/>
        <d v="2023-02-08T00:00:00"/>
        <d v="2023-08-02T00:00:00"/>
        <d v="2023-01-06T00:00:00"/>
        <d v="2023-10-12T00:00:00"/>
        <d v="2023-12-12T00:00:00"/>
        <d v="2023-04-30T00:00:00"/>
        <d v="2023-09-15T00:00:00"/>
        <d v="2023-06-19T00:00:00"/>
        <d v="2023-04-17T00:00:00"/>
        <d v="2023-01-28T00:00:00"/>
        <d v="2023-10-24T00:00:00"/>
        <d v="2023-09-29T00:00:00"/>
        <d v="2023-03-18T00:00:00"/>
        <d v="2023-07-10T00:00:00"/>
        <d v="2023-03-03T00:00:00"/>
        <d v="2023-04-25T00:00:00"/>
        <d v="2023-10-23T00:00:00"/>
        <d v="2023-07-26T00:00:00"/>
        <d v="2023-07-03T00:00:00"/>
        <d v="2023-05-14T00:00:00"/>
        <d v="2023-01-30T00:00:00"/>
        <d v="2023-09-08T00:00:00"/>
        <d v="2023-06-06T00:00:00"/>
        <d v="2023-05-20T00:00:00"/>
        <d v="2023-01-27T00:00:00"/>
        <d v="2023-06-17T00:00:00"/>
        <d v="2023-02-26T00:00:00"/>
        <d v="2023-02-21T00:00:00"/>
        <d v="5206-03-17T00:00:00"/>
        <d v="2023-01-19T00:00:00"/>
        <d v="5263-12-15T00:00:00"/>
      </sharedItems>
      <fieldGroup par="13"/>
    </cacheField>
    <cacheField name="SKU_Code" numFmtId="0">
      <sharedItems count="40">
        <s v="PRD-002"/>
        <s v="PRD-003"/>
        <s v="PRD-033"/>
        <s v="PRD-040"/>
        <s v="PRD-009"/>
        <s v="PRD-008"/>
        <s v="PRD-020"/>
        <s v="PRD-011"/>
        <s v="PRD-017"/>
        <s v="PRD-016"/>
        <s v="PRD-004"/>
        <s v="PRD-019"/>
        <s v="PRD-035"/>
        <s v="PRD-014"/>
        <s v="PRD-027"/>
        <s v="PRD-012"/>
        <s v="PRD-028"/>
        <s v="PRD-007"/>
        <s v="PRD-032"/>
        <s v="PRD-001"/>
        <s v="PRD-039"/>
        <s v="PRD-006"/>
        <s v="PRD-026"/>
        <s v="PRD-022"/>
        <s v="PRD-010"/>
        <s v="PRD-036"/>
        <s v="PRD-030"/>
        <s v="PRD-024"/>
        <s v="PRD-034"/>
        <s v="PRD-013"/>
        <s v="PRD-021"/>
        <s v="PRD-037"/>
        <s v="PRD-015"/>
        <s v="PRD-029"/>
        <s v="PRD-038"/>
        <s v="PRD-031"/>
        <s v="PRD-018"/>
        <s v="PRD-005"/>
        <s v="PRD-025"/>
        <s v="PRD-023"/>
      </sharedItems>
    </cacheField>
    <cacheField name="Product Name" numFmtId="0">
      <sharedItems count="24">
        <s v="Beige Co-ord Set"/>
        <s v="Beige Knit Cardigan"/>
        <s v="Navy Wide Leg Pants"/>
        <s v="Red Sweatshirt"/>
        <s v="Olive Sweatshirt"/>
        <s v="Striped Shirt"/>
        <s v="Burgundy Knit Dress"/>
        <s v="Grey Hoodie"/>
        <s v="Pink Sweatshirt"/>
        <s v="White Linen Shirt"/>
        <s v="White Basic Tee"/>
        <s v="Cable Knit Vest White"/>
        <s v="Floral Print Dress"/>
        <s v="Khaki Cargo Jacket"/>
        <s v="Rust Co-ord Set"/>
        <s v="Green Maxi Skirt"/>
        <s v="Sage Green Co-ord"/>
        <s v="Blue Sweatshirt"/>
        <s v="Magenta Abaya Dress"/>
        <s v="Orange Linen Set"/>
        <s v="Pyjama Set Printed"/>
        <s v="Brown Turtleneck Knit"/>
        <s v="Black Abaya Dress"/>
        <s v="Grey Maxi Dress"/>
      </sharedItems>
    </cacheField>
    <cacheField name="Category" numFmtId="0">
      <sharedItems containsMixedTypes="1" containsNumber="1" containsInteger="1" minValue="0" maxValue="0" count="12">
        <s v="Co-ord Sets"/>
        <s v="Knitwear"/>
        <s v="Bottoms"/>
        <s v="Sweatshirts"/>
        <s v="Shirts"/>
        <s v="Knit Dresses"/>
        <s v="Basics"/>
        <s v="Dresses"/>
        <s v="Outerwear"/>
        <s v="Skirts"/>
        <s v="Pyjamas"/>
        <n v="0" u="1"/>
      </sharedItems>
    </cacheField>
    <cacheField name="Size" numFmtId="0">
      <sharedItems/>
    </cacheField>
    <cacheField name="Qty" numFmtId="0">
      <sharedItems containsSemiMixedTypes="0" containsString="0" containsNumber="1" containsInteger="1" minValue="-4" maxValue="5"/>
    </cacheField>
    <cacheField name="UnitPrice_IRR" numFmtId="0">
      <sharedItems containsSemiMixedTypes="0" containsString="0" containsNumber="1" containsInteger="1" minValue="105000" maxValue="440000"/>
    </cacheField>
    <cacheField name="Discount" numFmtId="0">
      <sharedItems containsSemiMixedTypes="0" containsString="0" containsNumber="1" containsInteger="1" minValue="0" maxValue="20"/>
    </cacheField>
    <cacheField name="Channel" numFmtId="0">
      <sharedItems count="5">
        <s v="in-store"/>
        <s v="Instagram DM"/>
        <s v="Telegram"/>
        <s v="Website"/>
        <s v="Unknown"/>
      </sharedItems>
    </cacheField>
    <cacheField name="Revenue" numFmtId="174">
      <sharedItems containsSemiMixedTypes="0" containsString="0" containsNumber="1" containsInteger="1" minValue="-1720000" maxValue="2200000"/>
    </cacheField>
    <cacheField name="Months (SaleDate)" numFmtId="0" databaseField="0">
      <fieldGroup base="1">
        <rangePr groupBy="months" startDate="2023-01-01T00:00:00" endDate="5263-12-16T00:00:00"/>
        <groupItems count="14">
          <s v="&lt;1/1/2023"/>
          <s v="Jan"/>
          <s v="Feb"/>
          <s v="Mar"/>
          <s v="Apr"/>
          <s v="May"/>
          <s v="Jun"/>
          <s v="Jul"/>
          <s v="Aug"/>
          <s v="Sep"/>
          <s v="Oct"/>
          <s v="Nov"/>
          <s v="Dec"/>
          <s v="&gt;12/16/5263"/>
        </groupItems>
      </fieldGroup>
    </cacheField>
    <cacheField name="Quarters (SaleDate)" numFmtId="0" databaseField="0">
      <fieldGroup base="1">
        <rangePr groupBy="quarters" startDate="2023-01-01T00:00:00" endDate="5263-12-16T00:00:00"/>
        <groupItems count="6">
          <s v="&lt;1/1/2023"/>
          <s v="Qtr1"/>
          <s v="Qtr2"/>
          <s v="Qtr3"/>
          <s v="Qtr4"/>
          <s v="&gt;12/16/5263"/>
        </groupItems>
      </fieldGroup>
    </cacheField>
    <cacheField name="Years (SaleDate)" numFmtId="0" databaseField="0">
      <fieldGroup base="1">
        <rangePr groupBy="years" startDate="2023-01-01T00:00:00" endDate="5263-12-16T00:00:00"/>
        <groupItems count="3243">
          <s v="&lt;1/1/2023"/>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1"/>
          <s v="2752"/>
          <s v="2753"/>
          <s v="2754"/>
          <s v="2755"/>
          <s v="2756"/>
          <s v="2757"/>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6"/>
          <s v="2827"/>
          <s v="2828"/>
          <s v="2829"/>
          <s v="2830"/>
          <s v="2831"/>
          <s v="2832"/>
          <s v="2833"/>
          <s v="2834"/>
          <s v="2835"/>
          <s v="2836"/>
          <s v="2837"/>
          <s v="2838"/>
          <s v="2839"/>
          <s v="2840"/>
          <s v="2841"/>
          <s v="2842"/>
          <s v="2843"/>
          <s v="2844"/>
          <s v="2845"/>
          <s v="2846"/>
          <s v="2847"/>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5"/>
          <s v="2886"/>
          <s v="2887"/>
          <s v="2888"/>
          <s v="2889"/>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2925"/>
          <s v="2926"/>
          <s v="2927"/>
          <s v="2928"/>
          <s v="2929"/>
          <s v="2930"/>
          <s v="2931"/>
          <s v="2932"/>
          <s v="2933"/>
          <s v="2934"/>
          <s v="2935"/>
          <s v="2936"/>
          <s v="2937"/>
          <s v="2938"/>
          <s v="2939"/>
          <s v="2940"/>
          <s v="2941"/>
          <s v="2942"/>
          <s v="2943"/>
          <s v="2944"/>
          <s v="2945"/>
          <s v="2946"/>
          <s v="2947"/>
          <s v="2948"/>
          <s v="2949"/>
          <s v="2950"/>
          <s v="2951"/>
          <s v="2952"/>
          <s v="2953"/>
          <s v="2954"/>
          <s v="2955"/>
          <s v="2956"/>
          <s v="2957"/>
          <s v="2958"/>
          <s v="2959"/>
          <s v="2960"/>
          <s v="2961"/>
          <s v="2962"/>
          <s v="2963"/>
          <s v="2964"/>
          <s v="2965"/>
          <s v="2966"/>
          <s v="2967"/>
          <s v="2968"/>
          <s v="2969"/>
          <s v="2970"/>
          <s v="2971"/>
          <s v="2972"/>
          <s v="2973"/>
          <s v="2974"/>
          <s v="2975"/>
          <s v="2976"/>
          <s v="2977"/>
          <s v="2978"/>
          <s v="2979"/>
          <s v="2980"/>
          <s v="2981"/>
          <s v="2982"/>
          <s v="2983"/>
          <s v="2984"/>
          <s v="2985"/>
          <s v="2986"/>
          <s v="2987"/>
          <s v="2988"/>
          <s v="2989"/>
          <s v="2990"/>
          <s v="2991"/>
          <s v="2992"/>
          <s v="2993"/>
          <s v="2994"/>
          <s v="2995"/>
          <s v="2996"/>
          <s v="2997"/>
          <s v="2998"/>
          <s v="2999"/>
          <s v="3000"/>
          <s v="3001"/>
          <s v="3002"/>
          <s v="3003"/>
          <s v="3004"/>
          <s v="3005"/>
          <s v="3006"/>
          <s v="3007"/>
          <s v="3008"/>
          <s v="3009"/>
          <s v="3010"/>
          <s v="3011"/>
          <s v="3012"/>
          <s v="3013"/>
          <s v="3014"/>
          <s v="3015"/>
          <s v="3016"/>
          <s v="3017"/>
          <s v="3018"/>
          <s v="3019"/>
          <s v="3020"/>
          <s v="3021"/>
          <s v="3022"/>
          <s v="3023"/>
          <s v="3024"/>
          <s v="3025"/>
          <s v="3026"/>
          <s v="3027"/>
          <s v="3028"/>
          <s v="3029"/>
          <s v="3030"/>
          <s v="3031"/>
          <s v="3032"/>
          <s v="3033"/>
          <s v="3034"/>
          <s v="3035"/>
          <s v="3036"/>
          <s v="3037"/>
          <s v="3038"/>
          <s v="3039"/>
          <s v="3040"/>
          <s v="3041"/>
          <s v="3042"/>
          <s v="3043"/>
          <s v="3044"/>
          <s v="3045"/>
          <s v="3046"/>
          <s v="3047"/>
          <s v="3048"/>
          <s v="3049"/>
          <s v="3050"/>
          <s v="3051"/>
          <s v="3052"/>
          <s v="3053"/>
          <s v="3054"/>
          <s v="3055"/>
          <s v="3056"/>
          <s v="3057"/>
          <s v="3058"/>
          <s v="3059"/>
          <s v="3060"/>
          <s v="3061"/>
          <s v="3062"/>
          <s v="3063"/>
          <s v="3064"/>
          <s v="3065"/>
          <s v="3066"/>
          <s v="3067"/>
          <s v="3068"/>
          <s v="3069"/>
          <s v="3070"/>
          <s v="3071"/>
          <s v="3072"/>
          <s v="3073"/>
          <s v="3074"/>
          <s v="3075"/>
          <s v="3076"/>
          <s v="3077"/>
          <s v="3078"/>
          <s v="3079"/>
          <s v="3080"/>
          <s v="3081"/>
          <s v="3082"/>
          <s v="3083"/>
          <s v="3084"/>
          <s v="3085"/>
          <s v="3086"/>
          <s v="3087"/>
          <s v="3088"/>
          <s v="3089"/>
          <s v="3090"/>
          <s v="3091"/>
          <s v="3092"/>
          <s v="3093"/>
          <s v="3094"/>
          <s v="3095"/>
          <s v="3096"/>
          <s v="3097"/>
          <s v="3098"/>
          <s v="3099"/>
          <s v="3100"/>
          <s v="3101"/>
          <s v="3102"/>
          <s v="3103"/>
          <s v="3104"/>
          <s v="3105"/>
          <s v="3106"/>
          <s v="3107"/>
          <s v="3108"/>
          <s v="3109"/>
          <s v="3110"/>
          <s v="3111"/>
          <s v="3112"/>
          <s v="3113"/>
          <s v="3114"/>
          <s v="3115"/>
          <s v="3116"/>
          <s v="3117"/>
          <s v="3118"/>
          <s v="3119"/>
          <s v="3120"/>
          <s v="3121"/>
          <s v="3122"/>
          <s v="3123"/>
          <s v="3124"/>
          <s v="3125"/>
          <s v="3126"/>
          <s v="3127"/>
          <s v="3128"/>
          <s v="3129"/>
          <s v="3130"/>
          <s v="3131"/>
          <s v="3132"/>
          <s v="3133"/>
          <s v="3134"/>
          <s v="3135"/>
          <s v="3136"/>
          <s v="3137"/>
          <s v="3138"/>
          <s v="3139"/>
          <s v="3140"/>
          <s v="3141"/>
          <s v="3142"/>
          <s v="3143"/>
          <s v="3144"/>
          <s v="3145"/>
          <s v="3146"/>
          <s v="3147"/>
          <s v="3148"/>
          <s v="3149"/>
          <s v="3150"/>
          <s v="3151"/>
          <s v="3152"/>
          <s v="3153"/>
          <s v="3154"/>
          <s v="3155"/>
          <s v="3156"/>
          <s v="3157"/>
          <s v="3158"/>
          <s v="3159"/>
          <s v="3160"/>
          <s v="3161"/>
          <s v="3162"/>
          <s v="3163"/>
          <s v="3164"/>
          <s v="3165"/>
          <s v="3166"/>
          <s v="3167"/>
          <s v="3168"/>
          <s v="3169"/>
          <s v="3170"/>
          <s v="3171"/>
          <s v="3172"/>
          <s v="3173"/>
          <s v="3174"/>
          <s v="3175"/>
          <s v="3176"/>
          <s v="3177"/>
          <s v="3178"/>
          <s v="3179"/>
          <s v="3180"/>
          <s v="3181"/>
          <s v="3182"/>
          <s v="3183"/>
          <s v="3184"/>
          <s v="3185"/>
          <s v="3186"/>
          <s v="3187"/>
          <s v="3188"/>
          <s v="3189"/>
          <s v="3190"/>
          <s v="3191"/>
          <s v="3192"/>
          <s v="3193"/>
          <s v="3194"/>
          <s v="3195"/>
          <s v="3196"/>
          <s v="3197"/>
          <s v="3198"/>
          <s v="3199"/>
          <s v="3200"/>
          <s v="3201"/>
          <s v="3202"/>
          <s v="3203"/>
          <s v="3204"/>
          <s v="3205"/>
          <s v="3206"/>
          <s v="3207"/>
          <s v="3208"/>
          <s v="3209"/>
          <s v="3210"/>
          <s v="3211"/>
          <s v="3212"/>
          <s v="3213"/>
          <s v="3214"/>
          <s v="3215"/>
          <s v="3216"/>
          <s v="3217"/>
          <s v="3218"/>
          <s v="3219"/>
          <s v="3220"/>
          <s v="3221"/>
          <s v="3222"/>
          <s v="3223"/>
          <s v="3224"/>
          <s v="3225"/>
          <s v="3226"/>
          <s v="3227"/>
          <s v="3228"/>
          <s v="3229"/>
          <s v="3230"/>
          <s v="3231"/>
          <s v="3232"/>
          <s v="3233"/>
          <s v="3234"/>
          <s v="3235"/>
          <s v="3236"/>
          <s v="3237"/>
          <s v="3238"/>
          <s v="3239"/>
          <s v="3240"/>
          <s v="3241"/>
          <s v="3242"/>
          <s v="3243"/>
          <s v="3244"/>
          <s v="3245"/>
          <s v="3246"/>
          <s v="3247"/>
          <s v="3248"/>
          <s v="3249"/>
          <s v="3250"/>
          <s v="3251"/>
          <s v="3252"/>
          <s v="3253"/>
          <s v="3254"/>
          <s v="3255"/>
          <s v="3256"/>
          <s v="3257"/>
          <s v="3258"/>
          <s v="3259"/>
          <s v="3260"/>
          <s v="3261"/>
          <s v="3262"/>
          <s v="3263"/>
          <s v="3264"/>
          <s v="3265"/>
          <s v="3266"/>
          <s v="3267"/>
          <s v="3268"/>
          <s v="3269"/>
          <s v="3270"/>
          <s v="3271"/>
          <s v="3272"/>
          <s v="3273"/>
          <s v="3274"/>
          <s v="3275"/>
          <s v="3276"/>
          <s v="3277"/>
          <s v="3278"/>
          <s v="3279"/>
          <s v="3280"/>
          <s v="3281"/>
          <s v="3282"/>
          <s v="3283"/>
          <s v="3284"/>
          <s v="3285"/>
          <s v="3286"/>
          <s v="3287"/>
          <s v="3288"/>
          <s v="3289"/>
          <s v="3290"/>
          <s v="3291"/>
          <s v="3292"/>
          <s v="3293"/>
          <s v="3294"/>
          <s v="3295"/>
          <s v="3296"/>
          <s v="3297"/>
          <s v="3298"/>
          <s v="3299"/>
          <s v="3300"/>
          <s v="3301"/>
          <s v="3302"/>
          <s v="3303"/>
          <s v="3304"/>
          <s v="3305"/>
          <s v="3306"/>
          <s v="3307"/>
          <s v="3308"/>
          <s v="3309"/>
          <s v="3310"/>
          <s v="3311"/>
          <s v="3312"/>
          <s v="3313"/>
          <s v="3314"/>
          <s v="3315"/>
          <s v="3316"/>
          <s v="3317"/>
          <s v="3318"/>
          <s v="3319"/>
          <s v="3320"/>
          <s v="3321"/>
          <s v="3322"/>
          <s v="3323"/>
          <s v="3324"/>
          <s v="3325"/>
          <s v="3326"/>
          <s v="3327"/>
          <s v="3328"/>
          <s v="3329"/>
          <s v="3330"/>
          <s v="3331"/>
          <s v="3332"/>
          <s v="3333"/>
          <s v="3334"/>
          <s v="3335"/>
          <s v="3336"/>
          <s v="3337"/>
          <s v="3338"/>
          <s v="3339"/>
          <s v="3340"/>
          <s v="3341"/>
          <s v="3342"/>
          <s v="3343"/>
          <s v="3344"/>
          <s v="3345"/>
          <s v="3346"/>
          <s v="3347"/>
          <s v="3348"/>
          <s v="3349"/>
          <s v="3350"/>
          <s v="3351"/>
          <s v="3352"/>
          <s v="3353"/>
          <s v="3354"/>
          <s v="3355"/>
          <s v="3356"/>
          <s v="3357"/>
          <s v="3358"/>
          <s v="3359"/>
          <s v="3360"/>
          <s v="3361"/>
          <s v="3362"/>
          <s v="3363"/>
          <s v="3364"/>
          <s v="3365"/>
          <s v="3366"/>
          <s v="3367"/>
          <s v="3368"/>
          <s v="3369"/>
          <s v="3370"/>
          <s v="3371"/>
          <s v="3372"/>
          <s v="3373"/>
          <s v="3374"/>
          <s v="3375"/>
          <s v="3376"/>
          <s v="3377"/>
          <s v="3378"/>
          <s v="3379"/>
          <s v="3380"/>
          <s v="3381"/>
          <s v="3382"/>
          <s v="3383"/>
          <s v="3384"/>
          <s v="3385"/>
          <s v="3386"/>
          <s v="3387"/>
          <s v="3388"/>
          <s v="3389"/>
          <s v="3390"/>
          <s v="3391"/>
          <s v="3392"/>
          <s v="3393"/>
          <s v="3394"/>
          <s v="3395"/>
          <s v="3396"/>
          <s v="3397"/>
          <s v="3398"/>
          <s v="3399"/>
          <s v="3400"/>
          <s v="3401"/>
          <s v="3402"/>
          <s v="3403"/>
          <s v="3404"/>
          <s v="3405"/>
          <s v="3406"/>
          <s v="3407"/>
          <s v="3408"/>
          <s v="340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s v="3455"/>
          <s v="3456"/>
          <s v="3457"/>
          <s v="3458"/>
          <s v="3459"/>
          <s v="3460"/>
          <s v="3461"/>
          <s v="3462"/>
          <s v="3463"/>
          <s v="3464"/>
          <s v="3465"/>
          <s v="3466"/>
          <s v="3467"/>
          <s v="3468"/>
          <s v="3469"/>
          <s v="3470"/>
          <s v="3471"/>
          <s v="3472"/>
          <s v="3473"/>
          <s v="3474"/>
          <s v="3475"/>
          <s v="3476"/>
          <s v="3477"/>
          <s v="3478"/>
          <s v="3479"/>
          <s v="3480"/>
          <s v="3481"/>
          <s v="3482"/>
          <s v="3483"/>
          <s v="3484"/>
          <s v="3485"/>
          <s v="3486"/>
          <s v="3487"/>
          <s v="3488"/>
          <s v="3489"/>
          <s v="3490"/>
          <s v="3491"/>
          <s v="3492"/>
          <s v="3493"/>
          <s v="3494"/>
          <s v="3495"/>
          <s v="3496"/>
          <s v="3497"/>
          <s v="3498"/>
          <s v="3499"/>
          <s v="3500"/>
          <s v="3501"/>
          <s v="3502"/>
          <s v="3503"/>
          <s v="3504"/>
          <s v="3505"/>
          <s v="3506"/>
          <s v="3507"/>
          <s v="3508"/>
          <s v="3509"/>
          <s v="3510"/>
          <s v="3511"/>
          <s v="3512"/>
          <s v="3513"/>
          <s v="3514"/>
          <s v="3515"/>
          <s v="3516"/>
          <s v="3517"/>
          <s v="3518"/>
          <s v="3519"/>
          <s v="3520"/>
          <s v="3521"/>
          <s v="3522"/>
          <s v="3523"/>
          <s v="3524"/>
          <s v="3525"/>
          <s v="3526"/>
          <s v="3527"/>
          <s v="3528"/>
          <s v="3529"/>
          <s v="3530"/>
          <s v="3531"/>
          <s v="3532"/>
          <s v="3533"/>
          <s v="3534"/>
          <s v="3535"/>
          <s v="3536"/>
          <s v="3537"/>
          <s v="3538"/>
          <s v="3539"/>
          <s v="3540"/>
          <s v="3541"/>
          <s v="3542"/>
          <s v="3543"/>
          <s v="3544"/>
          <s v="3545"/>
          <s v="3546"/>
          <s v="3547"/>
          <s v="3548"/>
          <s v="3549"/>
          <s v="3550"/>
          <s v="3551"/>
          <s v="3552"/>
          <s v="3553"/>
          <s v="3554"/>
          <s v="3555"/>
          <s v="3556"/>
          <s v="3557"/>
          <s v="3558"/>
          <s v="3559"/>
          <s v="3560"/>
          <s v="3561"/>
          <s v="3562"/>
          <s v="3563"/>
          <s v="3564"/>
          <s v="3565"/>
          <s v="3566"/>
          <s v="3567"/>
          <s v="3568"/>
          <s v="3569"/>
          <s v="3570"/>
          <s v="3571"/>
          <s v="3572"/>
          <s v="3573"/>
          <s v="3574"/>
          <s v="3575"/>
          <s v="3576"/>
          <s v="3577"/>
          <s v="3578"/>
          <s v="3579"/>
          <s v="3580"/>
          <s v="3581"/>
          <s v="3582"/>
          <s v="3583"/>
          <s v="3584"/>
          <s v="3585"/>
          <s v="3586"/>
          <s v="3587"/>
          <s v="3588"/>
          <s v="3589"/>
          <s v="3590"/>
          <s v="3591"/>
          <s v="3592"/>
          <s v="3593"/>
          <s v="3594"/>
          <s v="3595"/>
          <s v="3596"/>
          <s v="3597"/>
          <s v="3598"/>
          <s v="3599"/>
          <s v="3600"/>
          <s v="3601"/>
          <s v="3602"/>
          <s v="3603"/>
          <s v="3604"/>
          <s v="3605"/>
          <s v="3606"/>
          <s v="3607"/>
          <s v="3608"/>
          <s v="3609"/>
          <s v="3610"/>
          <s v="3611"/>
          <s v="3612"/>
          <s v="3613"/>
          <s v="3614"/>
          <s v="3615"/>
          <s v="3616"/>
          <s v="3617"/>
          <s v="3618"/>
          <s v="3619"/>
          <s v="3620"/>
          <s v="3621"/>
          <s v="3622"/>
          <s v="3623"/>
          <s v="3624"/>
          <s v="3625"/>
          <s v="3626"/>
          <s v="3627"/>
          <s v="3628"/>
          <s v="3629"/>
          <s v="3630"/>
          <s v="3631"/>
          <s v="3632"/>
          <s v="3633"/>
          <s v="3634"/>
          <s v="3635"/>
          <s v="3636"/>
          <s v="3637"/>
          <s v="3638"/>
          <s v="3639"/>
          <s v="3640"/>
          <s v="3641"/>
          <s v="3642"/>
          <s v="3643"/>
          <s v="3644"/>
          <s v="3645"/>
          <s v="3646"/>
          <s v="3647"/>
          <s v="3648"/>
          <s v="3649"/>
          <s v="3650"/>
          <s v="3651"/>
          <s v="3652"/>
          <s v="3653"/>
          <s v="3654"/>
          <s v="3655"/>
          <s v="3656"/>
          <s v="3657"/>
          <s v="3658"/>
          <s v="3659"/>
          <s v="3660"/>
          <s v="3661"/>
          <s v="3662"/>
          <s v="3663"/>
          <s v="3664"/>
          <s v="3665"/>
          <s v="3666"/>
          <s v="3667"/>
          <s v="3668"/>
          <s v="3669"/>
          <s v="3670"/>
          <s v="3671"/>
          <s v="3672"/>
          <s v="3673"/>
          <s v="3674"/>
          <s v="3675"/>
          <s v="3676"/>
          <s v="3677"/>
          <s v="3678"/>
          <s v="3679"/>
          <s v="3680"/>
          <s v="3681"/>
          <s v="3682"/>
          <s v="3683"/>
          <s v="3684"/>
          <s v="3685"/>
          <s v="3686"/>
          <s v="3687"/>
          <s v="3688"/>
          <s v="3689"/>
          <s v="3690"/>
          <s v="3691"/>
          <s v="3692"/>
          <s v="3693"/>
          <s v="3694"/>
          <s v="3695"/>
          <s v="3696"/>
          <s v="3697"/>
          <s v="3698"/>
          <s v="3699"/>
          <s v="3700"/>
          <s v="3701"/>
          <s v="3702"/>
          <s v="3703"/>
          <s v="3704"/>
          <s v="3705"/>
          <s v="3706"/>
          <s v="3707"/>
          <s v="3708"/>
          <s v="3709"/>
          <s v="3710"/>
          <s v="3711"/>
          <s v="3712"/>
          <s v="3713"/>
          <s v="3714"/>
          <s v="3715"/>
          <s v="3716"/>
          <s v="3717"/>
          <s v="3718"/>
          <s v="3719"/>
          <s v="3720"/>
          <s v="3721"/>
          <s v="3722"/>
          <s v="3723"/>
          <s v="3724"/>
          <s v="3725"/>
          <s v="3726"/>
          <s v="3727"/>
          <s v="3728"/>
          <s v="3729"/>
          <s v="3730"/>
          <s v="3731"/>
          <s v="3732"/>
          <s v="3733"/>
          <s v="3734"/>
          <s v="3735"/>
          <s v="3736"/>
          <s v="3737"/>
          <s v="3738"/>
          <s v="3739"/>
          <s v="3740"/>
          <s v="3741"/>
          <s v="3742"/>
          <s v="3743"/>
          <s v="3744"/>
          <s v="3745"/>
          <s v="3746"/>
          <s v="3747"/>
          <s v="3748"/>
          <s v="3749"/>
          <s v="3750"/>
          <s v="3751"/>
          <s v="3752"/>
          <s v="3753"/>
          <s v="3754"/>
          <s v="3755"/>
          <s v="3756"/>
          <s v="3757"/>
          <s v="3758"/>
          <s v="3759"/>
          <s v="3760"/>
          <s v="3761"/>
          <s v="3762"/>
          <s v="3763"/>
          <s v="3764"/>
          <s v="3765"/>
          <s v="3766"/>
          <s v="3767"/>
          <s v="3768"/>
          <s v="3769"/>
          <s v="3770"/>
          <s v="3771"/>
          <s v="3772"/>
          <s v="3773"/>
          <s v="3774"/>
          <s v="3775"/>
          <s v="3776"/>
          <s v="3777"/>
          <s v="3778"/>
          <s v="3779"/>
          <s v="3780"/>
          <s v="3781"/>
          <s v="3782"/>
          <s v="3783"/>
          <s v="3784"/>
          <s v="3785"/>
          <s v="3786"/>
          <s v="3787"/>
          <s v="3788"/>
          <s v="3789"/>
          <s v="3790"/>
          <s v="3791"/>
          <s v="3792"/>
          <s v="3793"/>
          <s v="3794"/>
          <s v="3795"/>
          <s v="3796"/>
          <s v="3797"/>
          <s v="3798"/>
          <s v="3799"/>
          <s v="3800"/>
          <s v="3801"/>
          <s v="3802"/>
          <s v="3803"/>
          <s v="3804"/>
          <s v="3805"/>
          <s v="3806"/>
          <s v="3807"/>
          <s v="3808"/>
          <s v="3809"/>
          <s v="3810"/>
          <s v="3811"/>
          <s v="3812"/>
          <s v="3813"/>
          <s v="3814"/>
          <s v="3815"/>
          <s v="3816"/>
          <s v="3817"/>
          <s v="3818"/>
          <s v="3819"/>
          <s v="3820"/>
          <s v="3821"/>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s v="3858"/>
          <s v="3859"/>
          <s v="3860"/>
          <s v="3861"/>
          <s v="3862"/>
          <s v="3863"/>
          <s v="3864"/>
          <s v="3865"/>
          <s v="3866"/>
          <s v="3867"/>
          <s v="3868"/>
          <s v="3869"/>
          <s v="3870"/>
          <s v="3871"/>
          <s v="3872"/>
          <s v="3873"/>
          <s v="3874"/>
          <s v="3875"/>
          <s v="3876"/>
          <s v="3877"/>
          <s v="3878"/>
          <s v="3879"/>
          <s v="3880"/>
          <s v="3881"/>
          <s v="3882"/>
          <s v="3883"/>
          <s v="3884"/>
          <s v="3885"/>
          <s v="3886"/>
          <s v="3887"/>
          <s v="3888"/>
          <s v="3889"/>
          <s v="3890"/>
          <s v="3891"/>
          <s v="3892"/>
          <s v="3893"/>
          <s v="3894"/>
          <s v="3895"/>
          <s v="3896"/>
          <s v="3897"/>
          <s v="3898"/>
          <s v="3899"/>
          <s v="3900"/>
          <s v="3901"/>
          <s v="3902"/>
          <s v="3903"/>
          <s v="3904"/>
          <s v="3905"/>
          <s v="3906"/>
          <s v="3907"/>
          <s v="3908"/>
          <s v="3909"/>
          <s v="3910"/>
          <s v="3911"/>
          <s v="3912"/>
          <s v="3913"/>
          <s v="3914"/>
          <s v="3915"/>
          <s v="3916"/>
          <s v="3917"/>
          <s v="3918"/>
          <s v="3919"/>
          <s v="3920"/>
          <s v="3921"/>
          <s v="3922"/>
          <s v="3923"/>
          <s v="3924"/>
          <s v="3925"/>
          <s v="3926"/>
          <s v="3927"/>
          <s v="3928"/>
          <s v="3929"/>
          <s v="3930"/>
          <s v="3931"/>
          <s v="3932"/>
          <s v="3933"/>
          <s v="3934"/>
          <s v="3935"/>
          <s v="3936"/>
          <s v="3937"/>
          <s v="3938"/>
          <s v="3939"/>
          <s v="3940"/>
          <s v="3941"/>
          <s v="3942"/>
          <s v="3943"/>
          <s v="3944"/>
          <s v="3945"/>
          <s v="3946"/>
          <s v="3947"/>
          <s v="3948"/>
          <s v="3949"/>
          <s v="3950"/>
          <s v="3951"/>
          <s v="3952"/>
          <s v="3953"/>
          <s v="3954"/>
          <s v="3955"/>
          <s v="3956"/>
          <s v="3957"/>
          <s v="3958"/>
          <s v="3959"/>
          <s v="3960"/>
          <s v="3961"/>
          <s v="3962"/>
          <s v="3963"/>
          <s v="3964"/>
          <s v="3965"/>
          <s v="3966"/>
          <s v="3967"/>
          <s v="3968"/>
          <s v="3969"/>
          <s v="3970"/>
          <s v="3971"/>
          <s v="3972"/>
          <s v="3973"/>
          <s v="3974"/>
          <s v="3975"/>
          <s v="3976"/>
          <s v="3977"/>
          <s v="3978"/>
          <s v="3979"/>
          <s v="3980"/>
          <s v="3981"/>
          <s v="3982"/>
          <s v="3983"/>
          <s v="3984"/>
          <s v="3985"/>
          <s v="3986"/>
          <s v="3987"/>
          <s v="3988"/>
          <s v="3989"/>
          <s v="3990"/>
          <s v="3991"/>
          <s v="3992"/>
          <s v="3993"/>
          <s v="3994"/>
          <s v="3995"/>
          <s v="3996"/>
          <s v="3997"/>
          <s v="3998"/>
          <s v="3999"/>
          <s v="4000"/>
          <s v="4001"/>
          <s v="4002"/>
          <s v="4003"/>
          <s v="4004"/>
          <s v="4005"/>
          <s v="4006"/>
          <s v="4007"/>
          <s v="4008"/>
          <s v="4009"/>
          <s v="4010"/>
          <s v="4011"/>
          <s v="4012"/>
          <s v="4013"/>
          <s v="4014"/>
          <s v="4015"/>
          <s v="4016"/>
          <s v="4017"/>
          <s v="4018"/>
          <s v="4019"/>
          <s v="4020"/>
          <s v="4021"/>
          <s v="4022"/>
          <s v="4023"/>
          <s v="4024"/>
          <s v="4025"/>
          <s v="4026"/>
          <s v="4027"/>
          <s v="4028"/>
          <s v="4029"/>
          <s v="4030"/>
          <s v="4031"/>
          <s v="4032"/>
          <s v="4033"/>
          <s v="4034"/>
          <s v="4035"/>
          <s v="4036"/>
          <s v="4037"/>
          <s v="4038"/>
          <s v="4039"/>
          <s v="4040"/>
          <s v="4041"/>
          <s v="4042"/>
          <s v="4043"/>
          <s v="4044"/>
          <s v="4045"/>
          <s v="4046"/>
          <s v="4047"/>
          <s v="4048"/>
          <s v="4049"/>
          <s v="4050"/>
          <s v="4051"/>
          <s v="4052"/>
          <s v="4053"/>
          <s v="4054"/>
          <s v="4055"/>
          <s v="4056"/>
          <s v="4057"/>
          <s v="4058"/>
          <s v="4059"/>
          <s v="4060"/>
          <s v="4061"/>
          <s v="4062"/>
          <s v="4063"/>
          <s v="4064"/>
          <s v="4065"/>
          <s v="4066"/>
          <s v="4067"/>
          <s v="4068"/>
          <s v="4069"/>
          <s v="4070"/>
          <s v="4071"/>
          <s v="4072"/>
          <s v="4073"/>
          <s v="4074"/>
          <s v="4075"/>
          <s v="4076"/>
          <s v="4077"/>
          <s v="4078"/>
          <s v="4079"/>
          <s v="4080"/>
          <s v="4081"/>
          <s v="4082"/>
          <s v="4083"/>
          <s v="4084"/>
          <s v="4085"/>
          <s v="4086"/>
          <s v="4087"/>
          <s v="4088"/>
          <s v="4089"/>
          <s v="4090"/>
          <s v="4091"/>
          <s v="4092"/>
          <s v="4093"/>
          <s v="4094"/>
          <s v="4095"/>
          <s v="4096"/>
          <s v="4097"/>
          <s v="4098"/>
          <s v="4099"/>
          <s v="4100"/>
          <s v="4101"/>
          <s v="4102"/>
          <s v="4103"/>
          <s v="4104"/>
          <s v="4105"/>
          <s v="4106"/>
          <s v="4107"/>
          <s v="4108"/>
          <s v="4109"/>
          <s v="4110"/>
          <s v="4111"/>
          <s v="4112"/>
          <s v="4113"/>
          <s v="4114"/>
          <s v="4115"/>
          <s v="4116"/>
          <s v="4117"/>
          <s v="4118"/>
          <s v="4119"/>
          <s v="4120"/>
          <s v="4121"/>
          <s v="4122"/>
          <s v="4123"/>
          <s v="4124"/>
          <s v="4125"/>
          <s v="4126"/>
          <s v="4127"/>
          <s v="4128"/>
          <s v="4129"/>
          <s v="4130"/>
          <s v="4131"/>
          <s v="4132"/>
          <s v="4133"/>
          <s v="4134"/>
          <s v="4135"/>
          <s v="4136"/>
          <s v="4137"/>
          <s v="4138"/>
          <s v="4139"/>
          <s v="4140"/>
          <s v="4141"/>
          <s v="4142"/>
          <s v="4143"/>
          <s v="4144"/>
          <s v="4145"/>
          <s v="4146"/>
          <s v="4147"/>
          <s v="4148"/>
          <s v="4149"/>
          <s v="4150"/>
          <s v="4151"/>
          <s v="4152"/>
          <s v="4153"/>
          <s v="4154"/>
          <s v="4155"/>
          <s v="4156"/>
          <s v="4157"/>
          <s v="4158"/>
          <s v="4159"/>
          <s v="4160"/>
          <s v="4161"/>
          <s v="4162"/>
          <s v="4163"/>
          <s v="4164"/>
          <s v="4165"/>
          <s v="4166"/>
          <s v="4167"/>
          <s v="4168"/>
          <s v="4169"/>
          <s v="4170"/>
          <s v="4171"/>
          <s v="4172"/>
          <s v="4173"/>
          <s v="4174"/>
          <s v="4175"/>
          <s v="4176"/>
          <s v="4177"/>
          <s v="4178"/>
          <s v="4179"/>
          <s v="4180"/>
          <s v="4181"/>
          <s v="4182"/>
          <s v="4183"/>
          <s v="4184"/>
          <s v="4185"/>
          <s v="4186"/>
          <s v="4187"/>
          <s v="4188"/>
          <s v="4189"/>
          <s v="4190"/>
          <s v="4191"/>
          <s v="4192"/>
          <s v="4193"/>
          <s v="4194"/>
          <s v="4195"/>
          <s v="4196"/>
          <s v="4197"/>
          <s v="4198"/>
          <s v="4199"/>
          <s v="4200"/>
          <s v="4201"/>
          <s v="4202"/>
          <s v="4203"/>
          <s v="4204"/>
          <s v="4205"/>
          <s v="4206"/>
          <s v="4207"/>
          <s v="4208"/>
          <s v="4209"/>
          <s v="4210"/>
          <s v="4211"/>
          <s v="4212"/>
          <s v="4213"/>
          <s v="4214"/>
          <s v="4215"/>
          <s v="4216"/>
          <s v="4217"/>
          <s v="4218"/>
          <s v="4219"/>
          <s v="4220"/>
          <s v="4221"/>
          <s v="4222"/>
          <s v="4223"/>
          <s v="4224"/>
          <s v="4225"/>
          <s v="4226"/>
          <s v="4227"/>
          <s v="4228"/>
          <s v="4229"/>
          <s v="4230"/>
          <s v="4231"/>
          <s v="4232"/>
          <s v="4233"/>
          <s v="4234"/>
          <s v="4235"/>
          <s v="4236"/>
          <s v="4237"/>
          <s v="4238"/>
          <s v="4239"/>
          <s v="4240"/>
          <s v="4241"/>
          <s v="4242"/>
          <s v="4243"/>
          <s v="4244"/>
          <s v="4245"/>
          <s v="4246"/>
          <s v="4247"/>
          <s v="4248"/>
          <s v="4249"/>
          <s v="4250"/>
          <s v="4251"/>
          <s v="4252"/>
          <s v="4253"/>
          <s v="4254"/>
          <s v="4255"/>
          <s v="4256"/>
          <s v="4257"/>
          <s v="4258"/>
          <s v="4259"/>
          <s v="4260"/>
          <s v="4261"/>
          <s v="4262"/>
          <s v="4263"/>
          <s v="4264"/>
          <s v="4265"/>
          <s v="4266"/>
          <s v="4267"/>
          <s v="4268"/>
          <s v="4269"/>
          <s v="4270"/>
          <s v="4271"/>
          <s v="4272"/>
          <s v="4273"/>
          <s v="4274"/>
          <s v="4275"/>
          <s v="4276"/>
          <s v="4277"/>
          <s v="4278"/>
          <s v="4279"/>
          <s v="4280"/>
          <s v="4281"/>
          <s v="4282"/>
          <s v="4283"/>
          <s v="4284"/>
          <s v="4285"/>
          <s v="4286"/>
          <s v="4287"/>
          <s v="4288"/>
          <s v="4289"/>
          <s v="4290"/>
          <s v="4291"/>
          <s v="4292"/>
          <s v="4293"/>
          <s v="4294"/>
          <s v="4295"/>
          <s v="4296"/>
          <s v="4297"/>
          <s v="4298"/>
          <s v="4299"/>
          <s v="4300"/>
          <s v="4301"/>
          <s v="4302"/>
          <s v="4303"/>
          <s v="4304"/>
          <s v="4305"/>
          <s v="4306"/>
          <s v="4307"/>
          <s v="4308"/>
          <s v="4309"/>
          <s v="4310"/>
          <s v="4311"/>
          <s v="4312"/>
          <s v="4313"/>
          <s v="4314"/>
          <s v="4315"/>
          <s v="4316"/>
          <s v="4317"/>
          <s v="4318"/>
          <s v="4319"/>
          <s v="4320"/>
          <s v="4321"/>
          <s v="4322"/>
          <s v="4323"/>
          <s v="4324"/>
          <s v="4325"/>
          <s v="4326"/>
          <s v="4327"/>
          <s v="4328"/>
          <s v="4329"/>
          <s v="4330"/>
          <s v="4331"/>
          <s v="4332"/>
          <s v="4333"/>
          <s v="4334"/>
          <s v="4335"/>
          <s v="4336"/>
          <s v="4337"/>
          <s v="4338"/>
          <s v="4339"/>
          <s v="4340"/>
          <s v="4341"/>
          <s v="4342"/>
          <s v="4343"/>
          <s v="4344"/>
          <s v="4345"/>
          <s v="4346"/>
          <s v="4347"/>
          <s v="4348"/>
          <s v="4349"/>
          <s v="4350"/>
          <s v="4351"/>
          <s v="4352"/>
          <s v="4353"/>
          <s v="4354"/>
          <s v="4355"/>
          <s v="4356"/>
          <s v="4357"/>
          <s v="4358"/>
          <s v="4359"/>
          <s v="4360"/>
          <s v="4361"/>
          <s v="4362"/>
          <s v="4363"/>
          <s v="4364"/>
          <s v="4365"/>
          <s v="4366"/>
          <s v="4367"/>
          <s v="4368"/>
          <s v="4369"/>
          <s v="4370"/>
          <s v="4371"/>
          <s v="4372"/>
          <s v="4373"/>
          <s v="4374"/>
          <s v="4375"/>
          <s v="4376"/>
          <s v="4377"/>
          <s v="4378"/>
          <s v="4379"/>
          <s v="4380"/>
          <s v="4381"/>
          <s v="4382"/>
          <s v="4383"/>
          <s v="4384"/>
          <s v="4385"/>
          <s v="4386"/>
          <s v="4387"/>
          <s v="4388"/>
          <s v="4389"/>
          <s v="4390"/>
          <s v="4391"/>
          <s v="4392"/>
          <s v="4393"/>
          <s v="4394"/>
          <s v="4395"/>
          <s v="4396"/>
          <s v="4397"/>
          <s v="4398"/>
          <s v="4399"/>
          <s v="4400"/>
          <s v="4401"/>
          <s v="4402"/>
          <s v="4403"/>
          <s v="4404"/>
          <s v="4405"/>
          <s v="4406"/>
          <s v="4407"/>
          <s v="4408"/>
          <s v="4409"/>
          <s v="4410"/>
          <s v="4411"/>
          <s v="4412"/>
          <s v="4413"/>
          <s v="4414"/>
          <s v="4415"/>
          <s v="4416"/>
          <s v="4417"/>
          <s v="4418"/>
          <s v="4419"/>
          <s v="4420"/>
          <s v="4421"/>
          <s v="4422"/>
          <s v="4423"/>
          <s v="4424"/>
          <s v="4425"/>
          <s v="4426"/>
          <s v="4427"/>
          <s v="4428"/>
          <s v="4429"/>
          <s v="4430"/>
          <s v="4431"/>
          <s v="4432"/>
          <s v="4433"/>
          <s v="4434"/>
          <s v="4435"/>
          <s v="4436"/>
          <s v="4437"/>
          <s v="4438"/>
          <s v="4439"/>
          <s v="4440"/>
          <s v="4441"/>
          <s v="4442"/>
          <s v="4443"/>
          <s v="4444"/>
          <s v="4445"/>
          <s v="4446"/>
          <s v="4447"/>
          <s v="4448"/>
          <s v="4449"/>
          <s v="4450"/>
          <s v="4451"/>
          <s v="4452"/>
          <s v="4453"/>
          <s v="4454"/>
          <s v="4455"/>
          <s v="4456"/>
          <s v="4457"/>
          <s v="4458"/>
          <s v="4459"/>
          <s v="4460"/>
          <s v="4461"/>
          <s v="4462"/>
          <s v="4463"/>
          <s v="4464"/>
          <s v="4465"/>
          <s v="4466"/>
          <s v="4467"/>
          <s v="4468"/>
          <s v="4469"/>
          <s v="4470"/>
          <s v="4471"/>
          <s v="4472"/>
          <s v="4473"/>
          <s v="4474"/>
          <s v="4475"/>
          <s v="4476"/>
          <s v="4477"/>
          <s v="4478"/>
          <s v="4479"/>
          <s v="4480"/>
          <s v="4481"/>
          <s v="4482"/>
          <s v="4483"/>
          <s v="4484"/>
          <s v="4485"/>
          <s v="4486"/>
          <s v="4487"/>
          <s v="4488"/>
          <s v="4489"/>
          <s v="4490"/>
          <s v="4491"/>
          <s v="4492"/>
          <s v="4493"/>
          <s v="4494"/>
          <s v="4495"/>
          <s v="4496"/>
          <s v="4497"/>
          <s v="4498"/>
          <s v="4499"/>
          <s v="4500"/>
          <s v="4501"/>
          <s v="4502"/>
          <s v="4503"/>
          <s v="4504"/>
          <s v="4505"/>
          <s v="4506"/>
          <s v="4507"/>
          <s v="4508"/>
          <s v="450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s v="4554"/>
          <s v="4555"/>
          <s v="4556"/>
          <s v="4557"/>
          <s v="4558"/>
          <s v="4559"/>
          <s v="4560"/>
          <s v="4561"/>
          <s v="4562"/>
          <s v="4563"/>
          <s v="4564"/>
          <s v="4565"/>
          <s v="4566"/>
          <s v="4567"/>
          <s v="4568"/>
          <s v="4569"/>
          <s v="4570"/>
          <s v="4571"/>
          <s v="4572"/>
          <s v="4573"/>
          <s v="4574"/>
          <s v="4575"/>
          <s v="4576"/>
          <s v="4577"/>
          <s v="4578"/>
          <s v="4579"/>
          <s v="4580"/>
          <s v="4581"/>
          <s v="4582"/>
          <s v="4583"/>
          <s v="4584"/>
          <s v="4585"/>
          <s v="4586"/>
          <s v="4587"/>
          <s v="4588"/>
          <s v="4589"/>
          <s v="4590"/>
          <s v="4591"/>
          <s v="4592"/>
          <s v="4593"/>
          <s v="4594"/>
          <s v="4595"/>
          <s v="4596"/>
          <s v="4597"/>
          <s v="4598"/>
          <s v="4599"/>
          <s v="4600"/>
          <s v="4601"/>
          <s v="4602"/>
          <s v="4603"/>
          <s v="4604"/>
          <s v="4605"/>
          <s v="4606"/>
          <s v="4607"/>
          <s v="4608"/>
          <s v="4609"/>
          <s v="4610"/>
          <s v="4611"/>
          <s v="4612"/>
          <s v="4613"/>
          <s v="4614"/>
          <s v="4615"/>
          <s v="4616"/>
          <s v="4617"/>
          <s v="4618"/>
          <s v="4619"/>
          <s v="4620"/>
          <s v="4621"/>
          <s v="4622"/>
          <s v="4623"/>
          <s v="4624"/>
          <s v="4625"/>
          <s v="4626"/>
          <s v="4627"/>
          <s v="4628"/>
          <s v="4629"/>
          <s v="4630"/>
          <s v="4631"/>
          <s v="4632"/>
          <s v="4633"/>
          <s v="4634"/>
          <s v="4635"/>
          <s v="4636"/>
          <s v="4637"/>
          <s v="4638"/>
          <s v="4639"/>
          <s v="4640"/>
          <s v="4641"/>
          <s v="4642"/>
          <s v="4643"/>
          <s v="4644"/>
          <s v="4645"/>
          <s v="4646"/>
          <s v="4647"/>
          <s v="4648"/>
          <s v="4649"/>
          <s v="4650"/>
          <s v="4651"/>
          <s v="4652"/>
          <s v="4653"/>
          <s v="4654"/>
          <s v="4655"/>
          <s v="4656"/>
          <s v="4657"/>
          <s v="4658"/>
          <s v="4659"/>
          <s v="4660"/>
          <s v="4661"/>
          <s v="4662"/>
          <s v="4663"/>
          <s v="4664"/>
          <s v="4665"/>
          <s v="4666"/>
          <s v="4667"/>
          <s v="4668"/>
          <s v="4669"/>
          <s v="4670"/>
          <s v="4671"/>
          <s v="4672"/>
          <s v="4673"/>
          <s v="4674"/>
          <s v="4675"/>
          <s v="4676"/>
          <s v="4677"/>
          <s v="4678"/>
          <s v="4679"/>
          <s v="4680"/>
          <s v="4681"/>
          <s v="4682"/>
          <s v="4683"/>
          <s v="4684"/>
          <s v="4685"/>
          <s v="4686"/>
          <s v="4687"/>
          <s v="4688"/>
          <s v="4689"/>
          <s v="4690"/>
          <s v="4691"/>
          <s v="4692"/>
          <s v="4693"/>
          <s v="4694"/>
          <s v="4695"/>
          <s v="4696"/>
          <s v="4697"/>
          <s v="4698"/>
          <s v="4699"/>
          <s v="4700"/>
          <s v="4701"/>
          <s v="4702"/>
          <s v="4703"/>
          <s v="4704"/>
          <s v="4705"/>
          <s v="4706"/>
          <s v="4707"/>
          <s v="4708"/>
          <s v="4709"/>
          <s v="4710"/>
          <s v="4711"/>
          <s v="4712"/>
          <s v="4713"/>
          <s v="4714"/>
          <s v="4715"/>
          <s v="4716"/>
          <s v="4717"/>
          <s v="4718"/>
          <s v="4719"/>
          <s v="4720"/>
          <s v="4721"/>
          <s v="4722"/>
          <s v="4723"/>
          <s v="4724"/>
          <s v="4725"/>
          <s v="4726"/>
          <s v="4727"/>
          <s v="4728"/>
          <s v="4729"/>
          <s v="4730"/>
          <s v="4731"/>
          <s v="4732"/>
          <s v="4733"/>
          <s v="4734"/>
          <s v="4735"/>
          <s v="4736"/>
          <s v="4737"/>
          <s v="4738"/>
          <s v="4739"/>
          <s v="4740"/>
          <s v="4741"/>
          <s v="4742"/>
          <s v="4743"/>
          <s v="4744"/>
          <s v="4745"/>
          <s v="4746"/>
          <s v="4747"/>
          <s v="4748"/>
          <s v="4749"/>
          <s v="4750"/>
          <s v="4751"/>
          <s v="4752"/>
          <s v="4753"/>
          <s v="4754"/>
          <s v="4755"/>
          <s v="4756"/>
          <s v="4757"/>
          <s v="4758"/>
          <s v="4759"/>
          <s v="4760"/>
          <s v="4761"/>
          <s v="4762"/>
          <s v="4763"/>
          <s v="4764"/>
          <s v="4765"/>
          <s v="4766"/>
          <s v="4767"/>
          <s v="4768"/>
          <s v="4769"/>
          <s v="4770"/>
          <s v="4771"/>
          <s v="4772"/>
          <s v="4773"/>
          <s v="4774"/>
          <s v="4775"/>
          <s v="4776"/>
          <s v="4777"/>
          <s v="4778"/>
          <s v="4779"/>
          <s v="4780"/>
          <s v="4781"/>
          <s v="4782"/>
          <s v="4783"/>
          <s v="4784"/>
          <s v="4785"/>
          <s v="4786"/>
          <s v="4787"/>
          <s v="4788"/>
          <s v="4789"/>
          <s v="4790"/>
          <s v="4791"/>
          <s v="4792"/>
          <s v="4793"/>
          <s v="4794"/>
          <s v="4795"/>
          <s v="4796"/>
          <s v="4797"/>
          <s v="4798"/>
          <s v="4799"/>
          <s v="4800"/>
          <s v="4801"/>
          <s v="4802"/>
          <s v="4803"/>
          <s v="4804"/>
          <s v="4805"/>
          <s v="4806"/>
          <s v="4807"/>
          <s v="4808"/>
          <s v="4809"/>
          <s v="4810"/>
          <s v="4811"/>
          <s v="4812"/>
          <s v="4813"/>
          <s v="4814"/>
          <s v="4815"/>
          <s v="4816"/>
          <s v="4817"/>
          <s v="4818"/>
          <s v="4819"/>
          <s v="4820"/>
          <s v="4821"/>
          <s v="4822"/>
          <s v="4823"/>
          <s v="4824"/>
          <s v="4825"/>
          <s v="4826"/>
          <s v="4827"/>
          <s v="4828"/>
          <s v="4829"/>
          <s v="4830"/>
          <s v="4831"/>
          <s v="4832"/>
          <s v="4833"/>
          <s v="4834"/>
          <s v="4835"/>
          <s v="4836"/>
          <s v="4837"/>
          <s v="4838"/>
          <s v="4839"/>
          <s v="4840"/>
          <s v="4841"/>
          <s v="4842"/>
          <s v="4843"/>
          <s v="4844"/>
          <s v="4845"/>
          <s v="4846"/>
          <s v="4847"/>
          <s v="4848"/>
          <s v="4849"/>
          <s v="4850"/>
          <s v="4851"/>
          <s v="4852"/>
          <s v="4853"/>
          <s v="4854"/>
          <s v="4855"/>
          <s v="4856"/>
          <s v="4857"/>
          <s v="4858"/>
          <s v="4859"/>
          <s v="4860"/>
          <s v="4861"/>
          <s v="4862"/>
          <s v="4863"/>
          <s v="4864"/>
          <s v="4865"/>
          <s v="4866"/>
          <s v="4867"/>
          <s v="4868"/>
          <s v="4869"/>
          <s v="4870"/>
          <s v="4871"/>
          <s v="4872"/>
          <s v="4873"/>
          <s v="4874"/>
          <s v="4875"/>
          <s v="4876"/>
          <s v="4877"/>
          <s v="4878"/>
          <s v="4879"/>
          <s v="4880"/>
          <s v="4881"/>
          <s v="4882"/>
          <s v="4883"/>
          <s v="4884"/>
          <s v="4885"/>
          <s v="4886"/>
          <s v="4887"/>
          <s v="4888"/>
          <s v="4889"/>
          <s v="4890"/>
          <s v="4891"/>
          <s v="4892"/>
          <s v="4893"/>
          <s v="4894"/>
          <s v="4895"/>
          <s v="4896"/>
          <s v="4897"/>
          <s v="4898"/>
          <s v="4899"/>
          <s v="4900"/>
          <s v="4901"/>
          <s v="4902"/>
          <s v="4903"/>
          <s v="4904"/>
          <s v="4905"/>
          <s v="4906"/>
          <s v="4907"/>
          <s v="4908"/>
          <s v="4909"/>
          <s v="4910"/>
          <s v="4911"/>
          <s v="4912"/>
          <s v="4913"/>
          <s v="4914"/>
          <s v="4915"/>
          <s v="4916"/>
          <s v="4917"/>
          <s v="4918"/>
          <s v="4919"/>
          <s v="4920"/>
          <s v="4921"/>
          <s v="4922"/>
          <s v="4923"/>
          <s v="4924"/>
          <s v="4925"/>
          <s v="4926"/>
          <s v="4927"/>
          <s v="4928"/>
          <s v="4929"/>
          <s v="4930"/>
          <s v="4931"/>
          <s v="4932"/>
          <s v="4933"/>
          <s v="4934"/>
          <s v="4935"/>
          <s v="4936"/>
          <s v="4937"/>
          <s v="4938"/>
          <s v="4939"/>
          <s v="4940"/>
          <s v="4941"/>
          <s v="4942"/>
          <s v="4943"/>
          <s v="4944"/>
          <s v="4945"/>
          <s v="4946"/>
          <s v="4947"/>
          <s v="4948"/>
          <s v="4949"/>
          <s v="4950"/>
          <s v="4951"/>
          <s v="4952"/>
          <s v="4953"/>
          <s v="4954"/>
          <s v="4955"/>
          <s v="4956"/>
          <s v="4957"/>
          <s v="4958"/>
          <s v="4959"/>
          <s v="4960"/>
          <s v="4961"/>
          <s v="4962"/>
          <s v="4963"/>
          <s v="4964"/>
          <s v="4965"/>
          <s v="4966"/>
          <s v="4967"/>
          <s v="4968"/>
          <s v="4969"/>
          <s v="4970"/>
          <s v="4971"/>
          <s v="4972"/>
          <s v="4973"/>
          <s v="4974"/>
          <s v="4975"/>
          <s v="4976"/>
          <s v="4977"/>
          <s v="4978"/>
          <s v="4979"/>
          <s v="4980"/>
          <s v="4981"/>
          <s v="4982"/>
          <s v="4983"/>
          <s v="4984"/>
          <s v="4985"/>
          <s v="4986"/>
          <s v="4987"/>
          <s v="4988"/>
          <s v="4989"/>
          <s v="4990"/>
          <s v="4991"/>
          <s v="4992"/>
          <s v="4993"/>
          <s v="4994"/>
          <s v="4995"/>
          <s v="4996"/>
          <s v="4997"/>
          <s v="4998"/>
          <s v="4999"/>
          <s v="5000"/>
          <s v="5001"/>
          <s v="5002"/>
          <s v="5003"/>
          <s v="5004"/>
          <s v="5005"/>
          <s v="5006"/>
          <s v="5007"/>
          <s v="5008"/>
          <s v="5009"/>
          <s v="5010"/>
          <s v="5011"/>
          <s v="5012"/>
          <s v="5013"/>
          <s v="5014"/>
          <s v="5015"/>
          <s v="5016"/>
          <s v="5017"/>
          <s v="5018"/>
          <s v="5019"/>
          <s v="5020"/>
          <s v="5021"/>
          <s v="5022"/>
          <s v="5023"/>
          <s v="5024"/>
          <s v="5025"/>
          <s v="5026"/>
          <s v="5027"/>
          <s v="5028"/>
          <s v="5029"/>
          <s v="5030"/>
          <s v="5031"/>
          <s v="5032"/>
          <s v="5033"/>
          <s v="5034"/>
          <s v="5035"/>
          <s v="5036"/>
          <s v="5037"/>
          <s v="5038"/>
          <s v="5039"/>
          <s v="5040"/>
          <s v="5041"/>
          <s v="5042"/>
          <s v="5043"/>
          <s v="5044"/>
          <s v="5045"/>
          <s v="5046"/>
          <s v="5047"/>
          <s v="5048"/>
          <s v="5049"/>
          <s v="5050"/>
          <s v="5051"/>
          <s v="5052"/>
          <s v="5053"/>
          <s v="5054"/>
          <s v="5055"/>
          <s v="5056"/>
          <s v="5057"/>
          <s v="5058"/>
          <s v="5059"/>
          <s v="5060"/>
          <s v="5061"/>
          <s v="5062"/>
          <s v="5063"/>
          <s v="5064"/>
          <s v="5065"/>
          <s v="5066"/>
          <s v="5067"/>
          <s v="5068"/>
          <s v="5069"/>
          <s v="5070"/>
          <s v="5071"/>
          <s v="5072"/>
          <s v="5073"/>
          <s v="5074"/>
          <s v="5075"/>
          <s v="5076"/>
          <s v="5077"/>
          <s v="5078"/>
          <s v="5079"/>
          <s v="5080"/>
          <s v="5081"/>
          <s v="5082"/>
          <s v="5083"/>
          <s v="5084"/>
          <s v="5085"/>
          <s v="5086"/>
          <s v="5087"/>
          <s v="5088"/>
          <s v="5089"/>
          <s v="5090"/>
          <s v="5091"/>
          <s v="5092"/>
          <s v="5093"/>
          <s v="5094"/>
          <s v="5095"/>
          <s v="5096"/>
          <s v="5097"/>
          <s v="5098"/>
          <s v="5099"/>
          <s v="5100"/>
          <s v="5101"/>
          <s v="5102"/>
          <s v="5103"/>
          <s v="5104"/>
          <s v="5105"/>
          <s v="5106"/>
          <s v="5107"/>
          <s v="5108"/>
          <s v="5109"/>
          <s v="5110"/>
          <s v="5111"/>
          <s v="5112"/>
          <s v="5113"/>
          <s v="5114"/>
          <s v="5115"/>
          <s v="5116"/>
          <s v="5117"/>
          <s v="5118"/>
          <s v="5119"/>
          <s v="5120"/>
          <s v="5121"/>
          <s v="5122"/>
          <s v="5123"/>
          <s v="5124"/>
          <s v="5125"/>
          <s v="5126"/>
          <s v="5127"/>
          <s v="5128"/>
          <s v="5129"/>
          <s v="5130"/>
          <s v="5131"/>
          <s v="5132"/>
          <s v="5133"/>
          <s v="5134"/>
          <s v="5135"/>
          <s v="5136"/>
          <s v="5137"/>
          <s v="5138"/>
          <s v="5139"/>
          <s v="5140"/>
          <s v="5141"/>
          <s v="5142"/>
          <s v="5143"/>
          <s v="5144"/>
          <s v="5145"/>
          <s v="5146"/>
          <s v="5147"/>
          <s v="5148"/>
          <s v="5149"/>
          <s v="5150"/>
          <s v="5151"/>
          <s v="5152"/>
          <s v="5153"/>
          <s v="5154"/>
          <s v="5155"/>
          <s v="5156"/>
          <s v="5157"/>
          <s v="5158"/>
          <s v="5159"/>
          <s v="5160"/>
          <s v="5161"/>
          <s v="5162"/>
          <s v="5163"/>
          <s v="5164"/>
          <s v="5165"/>
          <s v="5166"/>
          <s v="5167"/>
          <s v="5168"/>
          <s v="5169"/>
          <s v="5170"/>
          <s v="5171"/>
          <s v="5172"/>
          <s v="5173"/>
          <s v="5174"/>
          <s v="5175"/>
          <s v="5176"/>
          <s v="5177"/>
          <s v="5178"/>
          <s v="5179"/>
          <s v="5180"/>
          <s v="5181"/>
          <s v="5182"/>
          <s v="5183"/>
          <s v="5184"/>
          <s v="5185"/>
          <s v="5186"/>
          <s v="5187"/>
          <s v="5188"/>
          <s v="5189"/>
          <s v="5190"/>
          <s v="5191"/>
          <s v="5192"/>
          <s v="5193"/>
          <s v="5194"/>
          <s v="5195"/>
          <s v="5196"/>
          <s v="5197"/>
          <s v="5198"/>
          <s v="5199"/>
          <s v="5200"/>
          <s v="5201"/>
          <s v="5202"/>
          <s v="5203"/>
          <s v="5204"/>
          <s v="5205"/>
          <s v="5206"/>
          <s v="5207"/>
          <s v="5208"/>
          <s v="5209"/>
          <s v="5210"/>
          <s v="5211"/>
          <s v="5212"/>
          <s v="5213"/>
          <s v="5214"/>
          <s v="5215"/>
          <s v="5216"/>
          <s v="5217"/>
          <s v="5218"/>
          <s v="5219"/>
          <s v="5220"/>
          <s v="5221"/>
          <s v="5222"/>
          <s v="5223"/>
          <s v="5224"/>
          <s v="5225"/>
          <s v="5226"/>
          <s v="5227"/>
          <s v="5228"/>
          <s v="5229"/>
          <s v="5230"/>
          <s v="5231"/>
          <s v="5232"/>
          <s v="5233"/>
          <s v="5234"/>
          <s v="5235"/>
          <s v="5236"/>
          <s v="5237"/>
          <s v="5238"/>
          <s v="5239"/>
          <s v="5240"/>
          <s v="5241"/>
          <s v="5242"/>
          <s v="5243"/>
          <s v="5244"/>
          <s v="5245"/>
          <s v="5246"/>
          <s v="5247"/>
          <s v="5248"/>
          <s v="5249"/>
          <s v="5250"/>
          <s v="5251"/>
          <s v="5252"/>
          <s v="5253"/>
          <s v="5254"/>
          <s v="5255"/>
          <s v="5256"/>
          <s v="5257"/>
          <s v="5258"/>
          <s v="5259"/>
          <s v="5260"/>
          <s v="5261"/>
          <s v="5262"/>
          <s v="5263"/>
          <s v="&gt;12/16/526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9">
  <r>
    <s v="ORD-1539"/>
    <x v="0"/>
    <x v="0"/>
    <x v="0"/>
    <x v="0"/>
    <s v="M"/>
    <n v="4"/>
    <n v="420000"/>
    <n v="10"/>
    <x v="0"/>
    <n v="1512000"/>
  </r>
  <r>
    <s v="ORD-1887"/>
    <x v="1"/>
    <x v="1"/>
    <x v="0"/>
    <x v="0"/>
    <s v="Unknown"/>
    <n v="1"/>
    <n v="420000"/>
    <n v="0"/>
    <x v="1"/>
    <n v="420000"/>
  </r>
  <r>
    <s v="ORD-1545"/>
    <x v="2"/>
    <x v="2"/>
    <x v="1"/>
    <x v="1"/>
    <s v="M"/>
    <n v="3"/>
    <n v="265000"/>
    <n v="0"/>
    <x v="0"/>
    <n v="795000"/>
  </r>
  <r>
    <s v="ORD-1049"/>
    <x v="3"/>
    <x v="3"/>
    <x v="2"/>
    <x v="2"/>
    <s v="M"/>
    <n v="1"/>
    <n v="182000"/>
    <n v="10"/>
    <x v="1"/>
    <n v="163800"/>
  </r>
  <r>
    <s v="ORD-1320"/>
    <x v="4"/>
    <x v="4"/>
    <x v="3"/>
    <x v="3"/>
    <s v="M"/>
    <n v="2"/>
    <n v="210000"/>
    <n v="0"/>
    <x v="0"/>
    <n v="420000"/>
  </r>
  <r>
    <s v="ORD-1127"/>
    <x v="5"/>
    <x v="5"/>
    <x v="4"/>
    <x v="3"/>
    <s v="L"/>
    <n v="-1"/>
    <n v="215000"/>
    <n v="10"/>
    <x v="1"/>
    <n v="-193500"/>
  </r>
  <r>
    <s v="ORD-1202"/>
    <x v="6"/>
    <x v="6"/>
    <x v="5"/>
    <x v="4"/>
    <s v="M"/>
    <n v="1"/>
    <n v="198000"/>
    <n v="0"/>
    <x v="1"/>
    <n v="198000"/>
  </r>
  <r>
    <s v="ORD-1824"/>
    <x v="7"/>
    <x v="7"/>
    <x v="6"/>
    <x v="5"/>
    <s v="M"/>
    <n v="1"/>
    <n v="320000"/>
    <n v="0"/>
    <x v="2"/>
    <n v="320000"/>
  </r>
  <r>
    <s v="ORD-1065"/>
    <x v="8"/>
    <x v="8"/>
    <x v="7"/>
    <x v="3"/>
    <s v="L"/>
    <n v="1"/>
    <n v="235000"/>
    <n v="5"/>
    <x v="1"/>
    <n v="223250"/>
  </r>
  <r>
    <s v="ORD-2022"/>
    <x v="9"/>
    <x v="9"/>
    <x v="7"/>
    <x v="3"/>
    <s v="M"/>
    <n v="1"/>
    <n v="235000"/>
    <n v="0"/>
    <x v="2"/>
    <n v="235000"/>
  </r>
  <r>
    <s v="ORD-1966"/>
    <x v="10"/>
    <x v="10"/>
    <x v="8"/>
    <x v="3"/>
    <s v="S"/>
    <n v="4"/>
    <n v="220000"/>
    <n v="0"/>
    <x v="0"/>
    <n v="880000"/>
  </r>
  <r>
    <s v="ORD-1767"/>
    <x v="11"/>
    <x v="11"/>
    <x v="9"/>
    <x v="4"/>
    <s v="M"/>
    <n v="2"/>
    <n v="195000"/>
    <n v="10"/>
    <x v="0"/>
    <n v="351000"/>
  </r>
  <r>
    <s v="ORD-1006"/>
    <x v="12"/>
    <x v="12"/>
    <x v="10"/>
    <x v="6"/>
    <s v="S"/>
    <n v="1"/>
    <n v="105000"/>
    <n v="0"/>
    <x v="1"/>
    <n v="105000"/>
  </r>
  <r>
    <s v="ORD-1177"/>
    <x v="13"/>
    <x v="3"/>
    <x v="2"/>
    <x v="2"/>
    <s v="M"/>
    <n v="1"/>
    <n v="182000"/>
    <n v="10"/>
    <x v="2"/>
    <n v="163800"/>
  </r>
  <r>
    <s v="ORD-1804"/>
    <x v="14"/>
    <x v="13"/>
    <x v="11"/>
    <x v="1"/>
    <s v="S"/>
    <n v="1"/>
    <n v="260000"/>
    <n v="15"/>
    <x v="2"/>
    <n v="221000"/>
  </r>
  <r>
    <s v="ORD-1233"/>
    <x v="15"/>
    <x v="14"/>
    <x v="12"/>
    <x v="7"/>
    <s v="S"/>
    <n v="1"/>
    <n v="295000"/>
    <n v="0"/>
    <x v="1"/>
    <n v="295000"/>
  </r>
  <r>
    <s v="ORD-1809"/>
    <x v="16"/>
    <x v="15"/>
    <x v="6"/>
    <x v="5"/>
    <s v="L"/>
    <n v="1"/>
    <n v="320000"/>
    <n v="10"/>
    <x v="0"/>
    <n v="288000"/>
  </r>
  <r>
    <s v="ORD-1516"/>
    <x v="17"/>
    <x v="16"/>
    <x v="12"/>
    <x v="7"/>
    <s v="M"/>
    <n v="1"/>
    <n v="295000"/>
    <n v="0"/>
    <x v="0"/>
    <n v="295000"/>
  </r>
  <r>
    <s v="ORD-1826"/>
    <x v="18"/>
    <x v="12"/>
    <x v="10"/>
    <x v="6"/>
    <s v="S"/>
    <n v="4"/>
    <n v="105000"/>
    <n v="0"/>
    <x v="0"/>
    <n v="420000"/>
  </r>
  <r>
    <s v="ORD-1900"/>
    <x v="5"/>
    <x v="12"/>
    <x v="10"/>
    <x v="6"/>
    <s v="S"/>
    <n v="1"/>
    <n v="105000"/>
    <n v="0"/>
    <x v="2"/>
    <n v="105000"/>
  </r>
  <r>
    <s v="ORD-1805"/>
    <x v="19"/>
    <x v="17"/>
    <x v="4"/>
    <x v="3"/>
    <s v="M"/>
    <n v="4"/>
    <n v="215000"/>
    <n v="0"/>
    <x v="0"/>
    <n v="860000"/>
  </r>
  <r>
    <s v="ORD-2027"/>
    <x v="20"/>
    <x v="1"/>
    <x v="0"/>
    <x v="0"/>
    <s v="Unknown"/>
    <n v="1"/>
    <n v="420000"/>
    <n v="0"/>
    <x v="1"/>
    <n v="420000"/>
  </r>
  <r>
    <s v="ORD-1720"/>
    <x v="21"/>
    <x v="14"/>
    <x v="12"/>
    <x v="7"/>
    <s v="S"/>
    <n v="2"/>
    <n v="295000"/>
    <n v="15"/>
    <x v="0"/>
    <n v="501500"/>
  </r>
  <r>
    <s v="ORD-2081"/>
    <x v="22"/>
    <x v="1"/>
    <x v="0"/>
    <x v="0"/>
    <s v="L"/>
    <n v="2"/>
    <n v="420000"/>
    <n v="10"/>
    <x v="0"/>
    <n v="756000"/>
  </r>
  <r>
    <s v="ORD-1585"/>
    <x v="23"/>
    <x v="8"/>
    <x v="7"/>
    <x v="3"/>
    <s v="L"/>
    <n v="2"/>
    <n v="235000"/>
    <n v="0"/>
    <x v="0"/>
    <n v="470000"/>
  </r>
  <r>
    <s v="ORD-1428"/>
    <x v="16"/>
    <x v="15"/>
    <x v="6"/>
    <x v="5"/>
    <s v="L"/>
    <n v="1"/>
    <n v="320000"/>
    <n v="0"/>
    <x v="3"/>
    <n v="320000"/>
  </r>
  <r>
    <s v="ORD-1010"/>
    <x v="24"/>
    <x v="18"/>
    <x v="13"/>
    <x v="8"/>
    <s v="L"/>
    <n v="2"/>
    <n v="395000"/>
    <n v="0"/>
    <x v="3"/>
    <n v="790000"/>
  </r>
  <r>
    <s v="ORD-1253"/>
    <x v="25"/>
    <x v="17"/>
    <x v="4"/>
    <x v="3"/>
    <s v="M"/>
    <n v="1"/>
    <n v="215000"/>
    <n v="10"/>
    <x v="3"/>
    <n v="193500"/>
  </r>
  <r>
    <s v="ORD-1992"/>
    <x v="26"/>
    <x v="1"/>
    <x v="0"/>
    <x v="0"/>
    <s v="L"/>
    <n v="1"/>
    <n v="420000"/>
    <n v="0"/>
    <x v="1"/>
    <n v="420000"/>
  </r>
  <r>
    <s v="ORD-1363"/>
    <x v="27"/>
    <x v="19"/>
    <x v="0"/>
    <x v="0"/>
    <s v="S"/>
    <n v="1"/>
    <n v="420000"/>
    <n v="5"/>
    <x v="2"/>
    <n v="399000"/>
  </r>
  <r>
    <s v="ORD-1057"/>
    <x v="28"/>
    <x v="20"/>
    <x v="14"/>
    <x v="0"/>
    <s v="M"/>
    <n v="1"/>
    <n v="425000"/>
    <n v="0"/>
    <x v="2"/>
    <n v="425000"/>
  </r>
  <r>
    <s v="ORD-1755"/>
    <x v="28"/>
    <x v="2"/>
    <x v="1"/>
    <x v="1"/>
    <s v="M"/>
    <n v="1"/>
    <n v="265000"/>
    <n v="0"/>
    <x v="1"/>
    <n v="265000"/>
  </r>
  <r>
    <s v="ORD-1699"/>
    <x v="29"/>
    <x v="21"/>
    <x v="8"/>
    <x v="3"/>
    <s v="L"/>
    <n v="3"/>
    <n v="220000"/>
    <n v="5"/>
    <x v="2"/>
    <n v="627000"/>
  </r>
  <r>
    <s v="ORD-1663"/>
    <x v="30"/>
    <x v="22"/>
    <x v="15"/>
    <x v="9"/>
    <s v="M"/>
    <n v="2"/>
    <n v="170000"/>
    <n v="0"/>
    <x v="0"/>
    <n v="340000"/>
  </r>
  <r>
    <s v="ORD-2068"/>
    <x v="31"/>
    <x v="12"/>
    <x v="10"/>
    <x v="6"/>
    <s v="S"/>
    <n v="3"/>
    <n v="105000"/>
    <n v="0"/>
    <x v="3"/>
    <n v="315000"/>
  </r>
  <r>
    <s v="ORD-2021"/>
    <x v="32"/>
    <x v="23"/>
    <x v="16"/>
    <x v="0"/>
    <s v="M"/>
    <n v="3"/>
    <n v="430000"/>
    <n v="15"/>
    <x v="1"/>
    <n v="1096500"/>
  </r>
  <r>
    <s v="ORD-1111"/>
    <x v="33"/>
    <x v="24"/>
    <x v="17"/>
    <x v="3"/>
    <s v="M"/>
    <n v="3"/>
    <n v="210000"/>
    <n v="0"/>
    <x v="1"/>
    <n v="630000"/>
  </r>
  <r>
    <s v="ORD-1975"/>
    <x v="34"/>
    <x v="7"/>
    <x v="6"/>
    <x v="5"/>
    <s v="M"/>
    <n v="2"/>
    <n v="320000"/>
    <n v="0"/>
    <x v="1"/>
    <n v="640000"/>
  </r>
  <r>
    <s v="ORD-1165"/>
    <x v="35"/>
    <x v="25"/>
    <x v="10"/>
    <x v="6"/>
    <s v="M"/>
    <n v="1"/>
    <n v="105000"/>
    <n v="0"/>
    <x v="1"/>
    <n v="105000"/>
  </r>
  <r>
    <s v="ORD-1324"/>
    <x v="36"/>
    <x v="26"/>
    <x v="18"/>
    <x v="7"/>
    <s v="M"/>
    <n v="1"/>
    <n v="335000"/>
    <n v="10"/>
    <x v="0"/>
    <n v="301500"/>
  </r>
  <r>
    <s v="ORD-1197"/>
    <x v="37"/>
    <x v="21"/>
    <x v="8"/>
    <x v="3"/>
    <s v="L"/>
    <n v="1"/>
    <n v="220000"/>
    <n v="0"/>
    <x v="1"/>
    <n v="220000"/>
  </r>
  <r>
    <s v="ORD-2194"/>
    <x v="38"/>
    <x v="19"/>
    <x v="0"/>
    <x v="0"/>
    <s v="S"/>
    <n v="1"/>
    <n v="420000"/>
    <n v="0"/>
    <x v="1"/>
    <n v="420000"/>
  </r>
  <r>
    <s v="ORD-1587"/>
    <x v="39"/>
    <x v="21"/>
    <x v="8"/>
    <x v="3"/>
    <s v="L"/>
    <n v="1"/>
    <n v="220000"/>
    <n v="5"/>
    <x v="1"/>
    <n v="209000"/>
  </r>
  <r>
    <s v="ORD-1351"/>
    <x v="15"/>
    <x v="22"/>
    <x v="15"/>
    <x v="9"/>
    <s v="M"/>
    <n v="2"/>
    <n v="170000"/>
    <n v="0"/>
    <x v="3"/>
    <n v="340000"/>
  </r>
  <r>
    <s v="ORD-1569"/>
    <x v="40"/>
    <x v="4"/>
    <x v="3"/>
    <x v="3"/>
    <s v="M"/>
    <n v="1"/>
    <n v="210000"/>
    <n v="0"/>
    <x v="1"/>
    <n v="210000"/>
  </r>
  <r>
    <s v="ORD-2016"/>
    <x v="41"/>
    <x v="11"/>
    <x v="9"/>
    <x v="4"/>
    <s v="M"/>
    <n v="2"/>
    <n v="195000"/>
    <n v="0"/>
    <x v="1"/>
    <n v="390000"/>
  </r>
  <r>
    <s v="ORD-1766"/>
    <x v="42"/>
    <x v="1"/>
    <x v="0"/>
    <x v="0"/>
    <s v="L"/>
    <n v="-2"/>
    <n v="420000"/>
    <n v="0"/>
    <x v="0"/>
    <n v="-840000"/>
  </r>
  <r>
    <s v="ORD-1507"/>
    <x v="43"/>
    <x v="27"/>
    <x v="19"/>
    <x v="0"/>
    <s v="L"/>
    <n v="2"/>
    <n v="440000"/>
    <n v="5"/>
    <x v="0"/>
    <n v="836000"/>
  </r>
  <r>
    <s v="ORD-1133"/>
    <x v="44"/>
    <x v="28"/>
    <x v="20"/>
    <x v="10"/>
    <s v="M"/>
    <n v="1"/>
    <n v="228000"/>
    <n v="0"/>
    <x v="3"/>
    <n v="228000"/>
  </r>
  <r>
    <s v="ORD-1422"/>
    <x v="45"/>
    <x v="19"/>
    <x v="0"/>
    <x v="0"/>
    <s v="S"/>
    <n v="4"/>
    <n v="420000"/>
    <n v="0"/>
    <x v="1"/>
    <n v="1680000"/>
  </r>
  <r>
    <s v="ORD-2028"/>
    <x v="46"/>
    <x v="1"/>
    <x v="0"/>
    <x v="0"/>
    <s v="L"/>
    <n v="4"/>
    <n v="420000"/>
    <n v="5"/>
    <x v="0"/>
    <n v="1596000"/>
  </r>
  <r>
    <s v="ORD-1043"/>
    <x v="47"/>
    <x v="18"/>
    <x v="13"/>
    <x v="8"/>
    <s v="L"/>
    <n v="1"/>
    <n v="395000"/>
    <n v="0"/>
    <x v="1"/>
    <n v="395000"/>
  </r>
  <r>
    <s v="ORD-1053"/>
    <x v="16"/>
    <x v="20"/>
    <x v="14"/>
    <x v="0"/>
    <s v="M"/>
    <n v="1"/>
    <n v="425000"/>
    <n v="0"/>
    <x v="1"/>
    <n v="425000"/>
  </r>
  <r>
    <s v="ORD-1026"/>
    <x v="48"/>
    <x v="8"/>
    <x v="7"/>
    <x v="3"/>
    <s v="L"/>
    <n v="5"/>
    <n v="235000"/>
    <n v="0"/>
    <x v="2"/>
    <n v="1175000"/>
  </r>
  <r>
    <s v="ORD-2070"/>
    <x v="49"/>
    <x v="29"/>
    <x v="21"/>
    <x v="1"/>
    <s v="M"/>
    <n v="1"/>
    <n v="280000"/>
    <n v="0"/>
    <x v="0"/>
    <n v="280000"/>
  </r>
  <r>
    <s v="ORD-1360"/>
    <x v="50"/>
    <x v="30"/>
    <x v="16"/>
    <x v="0"/>
    <s v="S"/>
    <n v="1"/>
    <n v="430000"/>
    <n v="10"/>
    <x v="0"/>
    <n v="387000"/>
  </r>
  <r>
    <s v="ORD-2107"/>
    <x v="51"/>
    <x v="5"/>
    <x v="4"/>
    <x v="3"/>
    <s v="L"/>
    <n v="5"/>
    <n v="215000"/>
    <n v="0"/>
    <x v="0"/>
    <n v="1075000"/>
  </r>
  <r>
    <s v="ORD-1411"/>
    <x v="52"/>
    <x v="31"/>
    <x v="10"/>
    <x v="6"/>
    <s v="L"/>
    <n v="3"/>
    <n v="105000"/>
    <n v="5"/>
    <x v="1"/>
    <n v="299250"/>
  </r>
  <r>
    <s v="ORD-1881"/>
    <x v="53"/>
    <x v="22"/>
    <x v="15"/>
    <x v="9"/>
    <s v="M"/>
    <n v="2"/>
    <n v="170000"/>
    <n v="0"/>
    <x v="0"/>
    <n v="340000"/>
  </r>
  <r>
    <s v="ORD-1869"/>
    <x v="54"/>
    <x v="32"/>
    <x v="11"/>
    <x v="1"/>
    <s v="M"/>
    <n v="1"/>
    <n v="260000"/>
    <n v="0"/>
    <x v="0"/>
    <n v="260000"/>
  </r>
  <r>
    <s v="ORD-1305"/>
    <x v="55"/>
    <x v="32"/>
    <x v="11"/>
    <x v="1"/>
    <s v="M"/>
    <n v="5"/>
    <n v="260000"/>
    <n v="0"/>
    <x v="1"/>
    <n v="1300000"/>
  </r>
  <r>
    <s v="ORD-1847"/>
    <x v="0"/>
    <x v="33"/>
    <x v="22"/>
    <x v="7"/>
    <s v="M"/>
    <n v="2"/>
    <n v="330000"/>
    <n v="0"/>
    <x v="1"/>
    <n v="660000"/>
  </r>
  <r>
    <s v="ORD-1750"/>
    <x v="56"/>
    <x v="33"/>
    <x v="22"/>
    <x v="7"/>
    <s v="M"/>
    <n v="1"/>
    <n v="330000"/>
    <n v="0"/>
    <x v="1"/>
    <n v="330000"/>
  </r>
  <r>
    <s v="ORD-2104"/>
    <x v="57"/>
    <x v="8"/>
    <x v="7"/>
    <x v="3"/>
    <s v="L"/>
    <n v="1"/>
    <n v="235000"/>
    <n v="0"/>
    <x v="2"/>
    <n v="235000"/>
  </r>
  <r>
    <s v="ORD-2171"/>
    <x v="58"/>
    <x v="34"/>
    <x v="23"/>
    <x v="7"/>
    <s v="M"/>
    <n v="1"/>
    <n v="305000"/>
    <n v="10"/>
    <x v="2"/>
    <n v="274500"/>
  </r>
  <r>
    <s v="ORD-1325"/>
    <x v="11"/>
    <x v="5"/>
    <x v="4"/>
    <x v="3"/>
    <s v="L"/>
    <n v="1"/>
    <n v="215000"/>
    <n v="5"/>
    <x v="0"/>
    <n v="204250"/>
  </r>
  <r>
    <s v="ORD-1484"/>
    <x v="59"/>
    <x v="16"/>
    <x v="12"/>
    <x v="7"/>
    <s v="M"/>
    <n v="1"/>
    <n v="295000"/>
    <n v="20"/>
    <x v="0"/>
    <n v="236000"/>
  </r>
  <r>
    <s v="ORD-1183"/>
    <x v="60"/>
    <x v="4"/>
    <x v="3"/>
    <x v="3"/>
    <s v="M"/>
    <n v="1"/>
    <n v="210000"/>
    <n v="0"/>
    <x v="1"/>
    <n v="210000"/>
  </r>
  <r>
    <s v="ORD-1355"/>
    <x v="61"/>
    <x v="35"/>
    <x v="13"/>
    <x v="8"/>
    <s v="M"/>
    <n v="2"/>
    <n v="395000"/>
    <n v="5"/>
    <x v="1"/>
    <n v="750500"/>
  </r>
  <r>
    <s v="ORD-1599"/>
    <x v="62"/>
    <x v="20"/>
    <x v="14"/>
    <x v="0"/>
    <s v="M"/>
    <n v="1"/>
    <n v="425000"/>
    <n v="5"/>
    <x v="3"/>
    <n v="403750"/>
  </r>
  <r>
    <s v="ORD-1479"/>
    <x v="63"/>
    <x v="27"/>
    <x v="19"/>
    <x v="0"/>
    <s v="L"/>
    <n v="1"/>
    <n v="440000"/>
    <n v="5"/>
    <x v="0"/>
    <n v="418000"/>
  </r>
  <r>
    <s v="ORD-2087"/>
    <x v="64"/>
    <x v="1"/>
    <x v="0"/>
    <x v="0"/>
    <s v="L"/>
    <n v="4"/>
    <n v="420000"/>
    <n v="0"/>
    <x v="0"/>
    <n v="1680000"/>
  </r>
  <r>
    <s v="ORD-1813"/>
    <x v="65"/>
    <x v="14"/>
    <x v="12"/>
    <x v="7"/>
    <s v="Unknown"/>
    <n v="2"/>
    <n v="295000"/>
    <n v="10"/>
    <x v="0"/>
    <n v="531000"/>
  </r>
  <r>
    <s v="ORD-1662"/>
    <x v="5"/>
    <x v="21"/>
    <x v="8"/>
    <x v="3"/>
    <s v="L"/>
    <n v="1"/>
    <n v="220000"/>
    <n v="20"/>
    <x v="0"/>
    <n v="176000"/>
  </r>
  <r>
    <s v="ORD-1477"/>
    <x v="27"/>
    <x v="30"/>
    <x v="16"/>
    <x v="0"/>
    <s v="S"/>
    <n v="2"/>
    <n v="430000"/>
    <n v="0"/>
    <x v="4"/>
    <n v="860000"/>
  </r>
  <r>
    <s v="ORD-1361"/>
    <x v="15"/>
    <x v="33"/>
    <x v="22"/>
    <x v="7"/>
    <s v="M"/>
    <n v="2"/>
    <n v="330000"/>
    <n v="0"/>
    <x v="1"/>
    <n v="660000"/>
  </r>
  <r>
    <s v="ORD-2135"/>
    <x v="66"/>
    <x v="31"/>
    <x v="10"/>
    <x v="6"/>
    <s v="L"/>
    <n v="1"/>
    <n v="105000"/>
    <n v="0"/>
    <x v="3"/>
    <n v="105000"/>
  </r>
  <r>
    <s v="ORD-2053"/>
    <x v="67"/>
    <x v="1"/>
    <x v="0"/>
    <x v="0"/>
    <s v="L"/>
    <n v="1"/>
    <n v="420000"/>
    <n v="0"/>
    <x v="0"/>
    <n v="420000"/>
  </r>
  <r>
    <s v="ORD-1188"/>
    <x v="68"/>
    <x v="16"/>
    <x v="12"/>
    <x v="7"/>
    <s v="M"/>
    <n v="4"/>
    <n v="295000"/>
    <n v="10"/>
    <x v="1"/>
    <n v="1062000"/>
  </r>
  <r>
    <s v="ORD-1815"/>
    <x v="69"/>
    <x v="35"/>
    <x v="13"/>
    <x v="8"/>
    <s v="M"/>
    <n v="2"/>
    <n v="395000"/>
    <n v="0"/>
    <x v="1"/>
    <n v="790000"/>
  </r>
  <r>
    <s v="ORD-1557"/>
    <x v="70"/>
    <x v="12"/>
    <x v="10"/>
    <x v="6"/>
    <s v="S"/>
    <n v="3"/>
    <n v="105000"/>
    <n v="0"/>
    <x v="1"/>
    <n v="315000"/>
  </r>
  <r>
    <s v="ORD-2167"/>
    <x v="71"/>
    <x v="4"/>
    <x v="3"/>
    <x v="3"/>
    <s v="M"/>
    <n v="1"/>
    <n v="210000"/>
    <n v="0"/>
    <x v="0"/>
    <n v="210000"/>
  </r>
  <r>
    <s v="ORD-1712"/>
    <x v="72"/>
    <x v="28"/>
    <x v="20"/>
    <x v="10"/>
    <s v="M"/>
    <n v="1"/>
    <n v="228000"/>
    <n v="0"/>
    <x v="0"/>
    <n v="228000"/>
  </r>
  <r>
    <s v="ORD-1537"/>
    <x v="73"/>
    <x v="14"/>
    <x v="12"/>
    <x v="7"/>
    <s v="S"/>
    <n v="2"/>
    <n v="295000"/>
    <n v="0"/>
    <x v="2"/>
    <n v="590000"/>
  </r>
  <r>
    <s v="ORD-1192"/>
    <x v="74"/>
    <x v="4"/>
    <x v="3"/>
    <x v="3"/>
    <s v="M"/>
    <n v="2"/>
    <n v="210000"/>
    <n v="0"/>
    <x v="0"/>
    <n v="420000"/>
  </r>
  <r>
    <s v="ORD-2008"/>
    <x v="75"/>
    <x v="21"/>
    <x v="8"/>
    <x v="3"/>
    <s v="L"/>
    <n v="2"/>
    <n v="220000"/>
    <n v="5"/>
    <x v="1"/>
    <n v="418000"/>
  </r>
  <r>
    <s v="ORD-1244"/>
    <x v="76"/>
    <x v="15"/>
    <x v="6"/>
    <x v="5"/>
    <s v="L"/>
    <n v="-1"/>
    <n v="320000"/>
    <n v="20"/>
    <x v="1"/>
    <n v="-256000"/>
  </r>
  <r>
    <s v="ORD-2148"/>
    <x v="61"/>
    <x v="19"/>
    <x v="0"/>
    <x v="0"/>
    <s v="S"/>
    <n v="2"/>
    <n v="420000"/>
    <n v="5"/>
    <x v="0"/>
    <n v="798000"/>
  </r>
  <r>
    <s v="ORD-1415"/>
    <x v="77"/>
    <x v="29"/>
    <x v="21"/>
    <x v="1"/>
    <s v="M"/>
    <n v="2"/>
    <n v="280000"/>
    <n v="15"/>
    <x v="0"/>
    <n v="476000"/>
  </r>
  <r>
    <s v="ORD-1654"/>
    <x v="78"/>
    <x v="18"/>
    <x v="13"/>
    <x v="8"/>
    <s v="L"/>
    <n v="1"/>
    <n v="395000"/>
    <n v="0"/>
    <x v="3"/>
    <n v="395000"/>
  </r>
  <r>
    <s v="ORD-1436"/>
    <x v="79"/>
    <x v="20"/>
    <x v="14"/>
    <x v="0"/>
    <s v="M"/>
    <n v="4"/>
    <n v="425000"/>
    <n v="0"/>
    <x v="0"/>
    <n v="1700000"/>
  </r>
  <r>
    <s v="ORD-2106"/>
    <x v="80"/>
    <x v="29"/>
    <x v="21"/>
    <x v="1"/>
    <s v="M"/>
    <n v="3"/>
    <n v="280000"/>
    <n v="5"/>
    <x v="1"/>
    <n v="798000"/>
  </r>
  <r>
    <s v="ORD-1475"/>
    <x v="28"/>
    <x v="17"/>
    <x v="4"/>
    <x v="3"/>
    <s v="M"/>
    <n v="1"/>
    <n v="215000"/>
    <n v="0"/>
    <x v="0"/>
    <n v="215000"/>
  </r>
  <r>
    <s v="ORD-1097"/>
    <x v="81"/>
    <x v="17"/>
    <x v="4"/>
    <x v="3"/>
    <s v="M"/>
    <n v="3"/>
    <n v="215000"/>
    <n v="10"/>
    <x v="1"/>
    <n v="580500"/>
  </r>
  <r>
    <s v="ORD-1245"/>
    <x v="82"/>
    <x v="16"/>
    <x v="12"/>
    <x v="7"/>
    <s v="M"/>
    <n v="1"/>
    <n v="295000"/>
    <n v="0"/>
    <x v="1"/>
    <n v="295000"/>
  </r>
  <r>
    <s v="ORD-1058"/>
    <x v="83"/>
    <x v="36"/>
    <x v="9"/>
    <x v="4"/>
    <s v="S"/>
    <n v="5"/>
    <n v="195000"/>
    <n v="0"/>
    <x v="2"/>
    <n v="975000"/>
  </r>
  <r>
    <s v="ORD-1026"/>
    <x v="48"/>
    <x v="8"/>
    <x v="7"/>
    <x v="3"/>
    <s v="L"/>
    <n v="5"/>
    <n v="235000"/>
    <n v="0"/>
    <x v="2"/>
    <n v="1175000"/>
  </r>
  <r>
    <s v="ORD-1518"/>
    <x v="84"/>
    <x v="26"/>
    <x v="18"/>
    <x v="7"/>
    <s v="M"/>
    <n v="1"/>
    <n v="335000"/>
    <n v="0"/>
    <x v="1"/>
    <n v="335000"/>
  </r>
  <r>
    <s v="ORD-1182"/>
    <x v="85"/>
    <x v="1"/>
    <x v="0"/>
    <x v="0"/>
    <s v="L"/>
    <n v="3"/>
    <n v="420000"/>
    <n v="0"/>
    <x v="1"/>
    <n v="1260000"/>
  </r>
  <r>
    <s v="ORD-1974"/>
    <x v="20"/>
    <x v="31"/>
    <x v="10"/>
    <x v="6"/>
    <s v="L"/>
    <n v="3"/>
    <n v="105000"/>
    <n v="10"/>
    <x v="0"/>
    <n v="283500"/>
  </r>
  <r>
    <s v="ORD-1929"/>
    <x v="86"/>
    <x v="30"/>
    <x v="16"/>
    <x v="0"/>
    <s v="S"/>
    <n v="1"/>
    <n v="430000"/>
    <n v="0"/>
    <x v="0"/>
    <n v="430000"/>
  </r>
  <r>
    <s v="ORD-1024"/>
    <x v="55"/>
    <x v="23"/>
    <x v="16"/>
    <x v="0"/>
    <s v="M"/>
    <n v="3"/>
    <n v="430000"/>
    <n v="10"/>
    <x v="1"/>
    <n v="1161000"/>
  </r>
  <r>
    <s v="ORD-1039"/>
    <x v="87"/>
    <x v="13"/>
    <x v="11"/>
    <x v="1"/>
    <s v="Unknown"/>
    <n v="3"/>
    <n v="260000"/>
    <n v="0"/>
    <x v="2"/>
    <n v="780000"/>
  </r>
  <r>
    <s v="ORD-1365"/>
    <x v="88"/>
    <x v="21"/>
    <x v="8"/>
    <x v="3"/>
    <s v="L"/>
    <n v="5"/>
    <n v="220000"/>
    <n v="0"/>
    <x v="1"/>
    <n v="1100000"/>
  </r>
  <r>
    <s v="ORD-1521"/>
    <x v="53"/>
    <x v="33"/>
    <x v="22"/>
    <x v="7"/>
    <s v="M"/>
    <n v="1"/>
    <n v="330000"/>
    <n v="5"/>
    <x v="3"/>
    <n v="313500"/>
  </r>
  <r>
    <s v="ORD-1624"/>
    <x v="36"/>
    <x v="28"/>
    <x v="20"/>
    <x v="10"/>
    <s v="M"/>
    <n v="2"/>
    <n v="228000"/>
    <n v="15"/>
    <x v="3"/>
    <n v="387600"/>
  </r>
  <r>
    <s v="ORD-1084"/>
    <x v="89"/>
    <x v="28"/>
    <x v="20"/>
    <x v="10"/>
    <s v="M"/>
    <n v="1"/>
    <n v="228000"/>
    <n v="0"/>
    <x v="1"/>
    <n v="228000"/>
  </r>
  <r>
    <s v="ORD-2032"/>
    <x v="90"/>
    <x v="25"/>
    <x v="10"/>
    <x v="6"/>
    <s v="M"/>
    <n v="4"/>
    <n v="105000"/>
    <n v="0"/>
    <x v="0"/>
    <n v="420000"/>
  </r>
  <r>
    <s v="ORD-1205"/>
    <x v="91"/>
    <x v="21"/>
    <x v="8"/>
    <x v="3"/>
    <s v="L"/>
    <n v="1"/>
    <n v="220000"/>
    <n v="5"/>
    <x v="1"/>
    <n v="209000"/>
  </r>
  <r>
    <s v="ORD-1463"/>
    <x v="92"/>
    <x v="12"/>
    <x v="10"/>
    <x v="6"/>
    <s v="S"/>
    <n v="1"/>
    <n v="105000"/>
    <n v="20"/>
    <x v="0"/>
    <n v="84000"/>
  </r>
  <r>
    <s v="ORD-1340"/>
    <x v="93"/>
    <x v="31"/>
    <x v="10"/>
    <x v="6"/>
    <s v="L"/>
    <n v="2"/>
    <n v="105000"/>
    <n v="0"/>
    <x v="3"/>
    <n v="210000"/>
  </r>
  <r>
    <s v="ORD-1147"/>
    <x v="61"/>
    <x v="12"/>
    <x v="10"/>
    <x v="6"/>
    <s v="S"/>
    <n v="3"/>
    <n v="105000"/>
    <n v="0"/>
    <x v="1"/>
    <n v="315000"/>
  </r>
  <r>
    <s v="ORD-1510"/>
    <x v="94"/>
    <x v="30"/>
    <x v="16"/>
    <x v="0"/>
    <s v="S"/>
    <n v="1"/>
    <n v="430000"/>
    <n v="0"/>
    <x v="1"/>
    <n v="430000"/>
  </r>
  <r>
    <s v="ORD-1251"/>
    <x v="11"/>
    <x v="18"/>
    <x v="13"/>
    <x v="8"/>
    <s v="L"/>
    <n v="4"/>
    <n v="395000"/>
    <n v="0"/>
    <x v="1"/>
    <n v="1580000"/>
  </r>
  <r>
    <s v="ORD-1991"/>
    <x v="95"/>
    <x v="2"/>
    <x v="1"/>
    <x v="1"/>
    <s v="M"/>
    <n v="4"/>
    <n v="265000"/>
    <n v="0"/>
    <x v="0"/>
    <n v="1060000"/>
  </r>
  <r>
    <s v="ORD-1061"/>
    <x v="48"/>
    <x v="1"/>
    <x v="0"/>
    <x v="0"/>
    <s v="L"/>
    <n v="2"/>
    <n v="420000"/>
    <n v="10"/>
    <x v="1"/>
    <n v="756000"/>
  </r>
  <r>
    <s v="ORD-1174"/>
    <x v="96"/>
    <x v="33"/>
    <x v="22"/>
    <x v="7"/>
    <s v="M"/>
    <n v="1"/>
    <n v="330000"/>
    <n v="5"/>
    <x v="1"/>
    <n v="313500"/>
  </r>
  <r>
    <s v="ORD-1984"/>
    <x v="0"/>
    <x v="32"/>
    <x v="11"/>
    <x v="1"/>
    <s v="M"/>
    <n v="2"/>
    <n v="260000"/>
    <n v="0"/>
    <x v="3"/>
    <n v="520000"/>
  </r>
  <r>
    <s v="ORD-1775"/>
    <x v="29"/>
    <x v="14"/>
    <x v="12"/>
    <x v="7"/>
    <s v="S"/>
    <n v="1"/>
    <n v="295000"/>
    <n v="0"/>
    <x v="3"/>
    <n v="295000"/>
  </r>
  <r>
    <s v="ORD-2026"/>
    <x v="54"/>
    <x v="21"/>
    <x v="8"/>
    <x v="3"/>
    <s v="L"/>
    <n v="3"/>
    <n v="220000"/>
    <n v="0"/>
    <x v="2"/>
    <n v="660000"/>
  </r>
  <r>
    <s v="ORD-2127"/>
    <x v="97"/>
    <x v="3"/>
    <x v="2"/>
    <x v="2"/>
    <s v="M"/>
    <n v="3"/>
    <n v="182000"/>
    <n v="10"/>
    <x v="0"/>
    <n v="491400"/>
  </r>
  <r>
    <s v="ORD-1384"/>
    <x v="81"/>
    <x v="20"/>
    <x v="14"/>
    <x v="0"/>
    <s v="M"/>
    <n v="1"/>
    <n v="425000"/>
    <n v="0"/>
    <x v="1"/>
    <n v="425000"/>
  </r>
  <r>
    <s v="ORD-2066"/>
    <x v="98"/>
    <x v="31"/>
    <x v="10"/>
    <x v="6"/>
    <s v="L"/>
    <n v="1"/>
    <n v="105000"/>
    <n v="0"/>
    <x v="0"/>
    <n v="105000"/>
  </r>
  <r>
    <s v="ORD-1679"/>
    <x v="99"/>
    <x v="17"/>
    <x v="4"/>
    <x v="3"/>
    <s v="Unknown"/>
    <n v="2"/>
    <n v="215000"/>
    <n v="0"/>
    <x v="0"/>
    <n v="430000"/>
  </r>
  <r>
    <s v="ORD-1848"/>
    <x v="100"/>
    <x v="24"/>
    <x v="17"/>
    <x v="3"/>
    <s v="M"/>
    <n v="3"/>
    <n v="210000"/>
    <n v="5"/>
    <x v="1"/>
    <n v="598500"/>
  </r>
  <r>
    <s v="ORD-2052"/>
    <x v="101"/>
    <x v="6"/>
    <x v="5"/>
    <x v="4"/>
    <s v="M"/>
    <n v="3"/>
    <n v="198000"/>
    <n v="0"/>
    <x v="0"/>
    <n v="594000"/>
  </r>
  <r>
    <s v="ORD-2063"/>
    <x v="102"/>
    <x v="25"/>
    <x v="10"/>
    <x v="6"/>
    <s v="M"/>
    <n v="3"/>
    <n v="105000"/>
    <n v="0"/>
    <x v="0"/>
    <n v="315000"/>
  </r>
  <r>
    <s v="ORD-1101"/>
    <x v="103"/>
    <x v="0"/>
    <x v="0"/>
    <x v="0"/>
    <s v="M"/>
    <n v="-2"/>
    <n v="420000"/>
    <n v="0"/>
    <x v="1"/>
    <n v="-840000"/>
  </r>
  <r>
    <s v="ORD-1425"/>
    <x v="79"/>
    <x v="27"/>
    <x v="19"/>
    <x v="0"/>
    <s v="L"/>
    <n v="1"/>
    <n v="440000"/>
    <n v="0"/>
    <x v="2"/>
    <n v="440000"/>
  </r>
  <r>
    <s v="ORD-1178"/>
    <x v="68"/>
    <x v="5"/>
    <x v="4"/>
    <x v="3"/>
    <s v="L"/>
    <n v="1"/>
    <n v="215000"/>
    <n v="0"/>
    <x v="2"/>
    <n v="215000"/>
  </r>
  <r>
    <s v="ORD-1722"/>
    <x v="93"/>
    <x v="23"/>
    <x v="16"/>
    <x v="0"/>
    <s v="M"/>
    <n v="2"/>
    <n v="430000"/>
    <n v="0"/>
    <x v="3"/>
    <n v="860000"/>
  </r>
  <r>
    <s v="ORD-1104"/>
    <x v="104"/>
    <x v="11"/>
    <x v="9"/>
    <x v="4"/>
    <s v="M"/>
    <n v="1"/>
    <n v="195000"/>
    <n v="0"/>
    <x v="0"/>
    <n v="195000"/>
  </r>
  <r>
    <s v="ORD-1502"/>
    <x v="56"/>
    <x v="29"/>
    <x v="21"/>
    <x v="1"/>
    <s v="M"/>
    <n v="1"/>
    <n v="280000"/>
    <n v="0"/>
    <x v="3"/>
    <n v="280000"/>
  </r>
  <r>
    <s v="ORD-1310"/>
    <x v="66"/>
    <x v="35"/>
    <x v="13"/>
    <x v="8"/>
    <s v="M"/>
    <n v="1"/>
    <n v="395000"/>
    <n v="0"/>
    <x v="0"/>
    <n v="395000"/>
  </r>
  <r>
    <s v="ORD-2088"/>
    <x v="105"/>
    <x v="15"/>
    <x v="6"/>
    <x v="5"/>
    <s v="L"/>
    <n v="4"/>
    <n v="320000"/>
    <n v="0"/>
    <x v="1"/>
    <n v="1280000"/>
  </r>
  <r>
    <s v="ORD-1693"/>
    <x v="38"/>
    <x v="5"/>
    <x v="4"/>
    <x v="3"/>
    <s v="L"/>
    <n v="1"/>
    <n v="215000"/>
    <n v="0"/>
    <x v="0"/>
    <n v="215000"/>
  </r>
  <r>
    <s v="ORD-1564"/>
    <x v="5"/>
    <x v="31"/>
    <x v="10"/>
    <x v="6"/>
    <s v="L"/>
    <n v="-1"/>
    <n v="105000"/>
    <n v="5"/>
    <x v="0"/>
    <n v="-99750"/>
  </r>
  <r>
    <s v="ORD-1409"/>
    <x v="76"/>
    <x v="1"/>
    <x v="0"/>
    <x v="0"/>
    <s v="L"/>
    <n v="2"/>
    <n v="420000"/>
    <n v="0"/>
    <x v="2"/>
    <n v="840000"/>
  </r>
  <r>
    <s v="ORD-2122"/>
    <x v="106"/>
    <x v="12"/>
    <x v="10"/>
    <x v="6"/>
    <s v="S"/>
    <n v="1"/>
    <n v="105000"/>
    <n v="5"/>
    <x v="2"/>
    <n v="99750"/>
  </r>
  <r>
    <s v="ORD-2168"/>
    <x v="107"/>
    <x v="37"/>
    <x v="8"/>
    <x v="3"/>
    <s v="Unknown"/>
    <n v="2"/>
    <n v="220000"/>
    <n v="5"/>
    <x v="0"/>
    <n v="418000"/>
  </r>
  <r>
    <s v="ORD-1145"/>
    <x v="84"/>
    <x v="6"/>
    <x v="5"/>
    <x v="4"/>
    <s v="Unknown"/>
    <n v="2"/>
    <n v="198000"/>
    <n v="0"/>
    <x v="1"/>
    <n v="396000"/>
  </r>
  <r>
    <s v="ORD-1438"/>
    <x v="108"/>
    <x v="28"/>
    <x v="20"/>
    <x v="10"/>
    <s v="M"/>
    <n v="4"/>
    <n v="228000"/>
    <n v="0"/>
    <x v="0"/>
    <n v="912000"/>
  </r>
  <r>
    <s v="ORD-1113"/>
    <x v="109"/>
    <x v="13"/>
    <x v="11"/>
    <x v="1"/>
    <s v="S"/>
    <n v="2"/>
    <n v="260000"/>
    <n v="20"/>
    <x v="0"/>
    <n v="416000"/>
  </r>
  <r>
    <s v="ORD-2185"/>
    <x v="89"/>
    <x v="8"/>
    <x v="7"/>
    <x v="3"/>
    <s v="L"/>
    <n v="3"/>
    <n v="235000"/>
    <n v="15"/>
    <x v="0"/>
    <n v="599250"/>
  </r>
  <r>
    <s v="ORD-1601"/>
    <x v="110"/>
    <x v="16"/>
    <x v="12"/>
    <x v="7"/>
    <s v="M"/>
    <n v="3"/>
    <n v="295000"/>
    <n v="15"/>
    <x v="0"/>
    <n v="752250"/>
  </r>
  <r>
    <s v="ORD-1589"/>
    <x v="111"/>
    <x v="7"/>
    <x v="6"/>
    <x v="5"/>
    <s v="M"/>
    <n v="1"/>
    <n v="320000"/>
    <n v="5"/>
    <x v="0"/>
    <n v="304000"/>
  </r>
  <r>
    <s v="ORD-1958"/>
    <x v="76"/>
    <x v="23"/>
    <x v="16"/>
    <x v="0"/>
    <s v="M"/>
    <n v="1"/>
    <n v="430000"/>
    <n v="0"/>
    <x v="0"/>
    <n v="430000"/>
  </r>
  <r>
    <s v="ORD-1213"/>
    <x v="29"/>
    <x v="20"/>
    <x v="14"/>
    <x v="0"/>
    <s v="M"/>
    <n v="3"/>
    <n v="425000"/>
    <n v="0"/>
    <x v="1"/>
    <n v="1275000"/>
  </r>
  <r>
    <s v="ORD-2078"/>
    <x v="112"/>
    <x v="0"/>
    <x v="0"/>
    <x v="0"/>
    <s v="M"/>
    <n v="3"/>
    <n v="420000"/>
    <n v="5"/>
    <x v="2"/>
    <n v="1197000"/>
  </r>
  <r>
    <s v="ORD-2091"/>
    <x v="17"/>
    <x v="24"/>
    <x v="17"/>
    <x v="3"/>
    <s v="M"/>
    <n v="1"/>
    <n v="210000"/>
    <n v="0"/>
    <x v="2"/>
    <n v="210000"/>
  </r>
  <r>
    <s v="ORD-2035"/>
    <x v="113"/>
    <x v="19"/>
    <x v="0"/>
    <x v="0"/>
    <s v="S"/>
    <n v="1"/>
    <n v="420000"/>
    <n v="0"/>
    <x v="1"/>
    <n v="420000"/>
  </r>
  <r>
    <s v="ORD-2024"/>
    <x v="114"/>
    <x v="9"/>
    <x v="7"/>
    <x v="3"/>
    <s v="M"/>
    <n v="4"/>
    <n v="235000"/>
    <n v="0"/>
    <x v="1"/>
    <n v="940000"/>
  </r>
  <r>
    <s v="ORD-1138"/>
    <x v="115"/>
    <x v="38"/>
    <x v="15"/>
    <x v="9"/>
    <s v="S"/>
    <n v="-1"/>
    <n v="170000"/>
    <n v="0"/>
    <x v="2"/>
    <n v="-170000"/>
  </r>
  <r>
    <s v="ORD-1763"/>
    <x v="53"/>
    <x v="33"/>
    <x v="22"/>
    <x v="7"/>
    <s v="M"/>
    <n v="2"/>
    <n v="330000"/>
    <n v="15"/>
    <x v="1"/>
    <n v="561000"/>
  </r>
  <r>
    <s v="ORD-1210"/>
    <x v="116"/>
    <x v="21"/>
    <x v="8"/>
    <x v="3"/>
    <s v="L"/>
    <n v="3"/>
    <n v="220000"/>
    <n v="0"/>
    <x v="0"/>
    <n v="660000"/>
  </r>
  <r>
    <s v="ORD-1156"/>
    <x v="117"/>
    <x v="32"/>
    <x v="11"/>
    <x v="1"/>
    <s v="Unknown"/>
    <n v="1"/>
    <n v="260000"/>
    <n v="0"/>
    <x v="1"/>
    <n v="260000"/>
  </r>
  <r>
    <s v="ORD-1523"/>
    <x v="37"/>
    <x v="2"/>
    <x v="1"/>
    <x v="1"/>
    <s v="M"/>
    <n v="2"/>
    <n v="265000"/>
    <n v="0"/>
    <x v="1"/>
    <n v="530000"/>
  </r>
  <r>
    <s v="ORD-1209"/>
    <x v="118"/>
    <x v="10"/>
    <x v="8"/>
    <x v="3"/>
    <s v="S"/>
    <n v="1"/>
    <n v="220000"/>
    <n v="10"/>
    <x v="1"/>
    <n v="198000"/>
  </r>
  <r>
    <s v="ORD-1430"/>
    <x v="119"/>
    <x v="28"/>
    <x v="20"/>
    <x v="10"/>
    <s v="Unknown"/>
    <n v="1"/>
    <n v="228000"/>
    <n v="0"/>
    <x v="1"/>
    <n v="228000"/>
  </r>
  <r>
    <s v="ORD-1344"/>
    <x v="120"/>
    <x v="36"/>
    <x v="9"/>
    <x v="4"/>
    <s v="S"/>
    <n v="2"/>
    <n v="195000"/>
    <n v="0"/>
    <x v="1"/>
    <n v="390000"/>
  </r>
  <r>
    <s v="ORD-2077"/>
    <x v="121"/>
    <x v="37"/>
    <x v="8"/>
    <x v="3"/>
    <s v="M"/>
    <n v="2"/>
    <n v="220000"/>
    <n v="5"/>
    <x v="1"/>
    <n v="418000"/>
  </r>
  <r>
    <s v="ORD-2007"/>
    <x v="122"/>
    <x v="25"/>
    <x v="10"/>
    <x v="6"/>
    <s v="M"/>
    <n v="2"/>
    <n v="105000"/>
    <n v="0"/>
    <x v="0"/>
    <n v="210000"/>
  </r>
  <r>
    <s v="ORD-2062"/>
    <x v="123"/>
    <x v="27"/>
    <x v="19"/>
    <x v="0"/>
    <s v="L"/>
    <n v="1"/>
    <n v="440000"/>
    <n v="10"/>
    <x v="2"/>
    <n v="396000"/>
  </r>
  <r>
    <s v="ORD-1071"/>
    <x v="42"/>
    <x v="3"/>
    <x v="2"/>
    <x v="2"/>
    <s v="Unknown"/>
    <n v="1"/>
    <n v="182000"/>
    <n v="0"/>
    <x v="4"/>
    <n v="182000"/>
  </r>
  <r>
    <s v="ORD-1255"/>
    <x v="124"/>
    <x v="34"/>
    <x v="23"/>
    <x v="7"/>
    <s v="M"/>
    <n v="2"/>
    <n v="305000"/>
    <n v="0"/>
    <x v="0"/>
    <n v="610000"/>
  </r>
  <r>
    <s v="ORD-1898"/>
    <x v="125"/>
    <x v="7"/>
    <x v="6"/>
    <x v="5"/>
    <s v="M"/>
    <n v="2"/>
    <n v="320000"/>
    <n v="0"/>
    <x v="1"/>
    <n v="640000"/>
  </r>
  <r>
    <s v="ORD-1928"/>
    <x v="99"/>
    <x v="37"/>
    <x v="8"/>
    <x v="3"/>
    <s v="M"/>
    <n v="4"/>
    <n v="220000"/>
    <n v="10"/>
    <x v="1"/>
    <n v="792000"/>
  </r>
  <r>
    <s v="ORD-1455"/>
    <x v="126"/>
    <x v="18"/>
    <x v="13"/>
    <x v="8"/>
    <s v="L"/>
    <n v="4"/>
    <n v="395000"/>
    <n v="0"/>
    <x v="3"/>
    <n v="1580000"/>
  </r>
  <r>
    <s v="ORD-2150"/>
    <x v="68"/>
    <x v="18"/>
    <x v="13"/>
    <x v="8"/>
    <s v="L"/>
    <n v="2"/>
    <n v="395000"/>
    <n v="0"/>
    <x v="2"/>
    <n v="790000"/>
  </r>
  <r>
    <s v="ORD-1818"/>
    <x v="77"/>
    <x v="17"/>
    <x v="4"/>
    <x v="3"/>
    <s v="M"/>
    <n v="2"/>
    <n v="215000"/>
    <n v="0"/>
    <x v="1"/>
    <n v="430000"/>
  </r>
  <r>
    <s v="ORD-1341"/>
    <x v="118"/>
    <x v="5"/>
    <x v="4"/>
    <x v="3"/>
    <s v="L"/>
    <n v="2"/>
    <n v="215000"/>
    <n v="10"/>
    <x v="1"/>
    <n v="387000"/>
  </r>
  <r>
    <s v="ORD-2154"/>
    <x v="75"/>
    <x v="30"/>
    <x v="16"/>
    <x v="0"/>
    <s v="S"/>
    <n v="1"/>
    <n v="430000"/>
    <n v="0"/>
    <x v="2"/>
    <n v="430000"/>
  </r>
  <r>
    <s v="ORD-1374"/>
    <x v="127"/>
    <x v="6"/>
    <x v="5"/>
    <x v="4"/>
    <s v="M"/>
    <n v="-3"/>
    <n v="198000"/>
    <n v="5"/>
    <x v="1"/>
    <n v="-564300"/>
  </r>
  <r>
    <s v="ORD-1937"/>
    <x v="128"/>
    <x v="15"/>
    <x v="6"/>
    <x v="5"/>
    <s v="L"/>
    <n v="-2"/>
    <n v="320000"/>
    <n v="0"/>
    <x v="1"/>
    <n v="-640000"/>
  </r>
  <r>
    <s v="ORD-1073"/>
    <x v="7"/>
    <x v="18"/>
    <x v="13"/>
    <x v="8"/>
    <s v="L"/>
    <n v="1"/>
    <n v="395000"/>
    <n v="0"/>
    <x v="0"/>
    <n v="395000"/>
  </r>
  <r>
    <s v="ORD-1688"/>
    <x v="129"/>
    <x v="15"/>
    <x v="6"/>
    <x v="5"/>
    <s v="Unknown"/>
    <n v="1"/>
    <n v="320000"/>
    <n v="0"/>
    <x v="2"/>
    <n v="320000"/>
  </r>
  <r>
    <s v="ORD-1873"/>
    <x v="38"/>
    <x v="9"/>
    <x v="7"/>
    <x v="3"/>
    <s v="M"/>
    <n v="1"/>
    <n v="235000"/>
    <n v="0"/>
    <x v="1"/>
    <n v="235000"/>
  </r>
  <r>
    <s v="ORD-1784"/>
    <x v="130"/>
    <x v="9"/>
    <x v="7"/>
    <x v="3"/>
    <s v="Unknown"/>
    <n v="1"/>
    <n v="235000"/>
    <n v="0"/>
    <x v="3"/>
    <n v="235000"/>
  </r>
  <r>
    <s v="ORD-1421"/>
    <x v="131"/>
    <x v="19"/>
    <x v="0"/>
    <x v="0"/>
    <s v="S"/>
    <n v="1"/>
    <n v="420000"/>
    <n v="0"/>
    <x v="1"/>
    <n v="420000"/>
  </r>
  <r>
    <s v="ORD-1598"/>
    <x v="92"/>
    <x v="36"/>
    <x v="9"/>
    <x v="4"/>
    <s v="S"/>
    <n v="2"/>
    <n v="195000"/>
    <n v="15"/>
    <x v="3"/>
    <n v="331500"/>
  </r>
  <r>
    <s v="ORD-1604"/>
    <x v="132"/>
    <x v="22"/>
    <x v="15"/>
    <x v="9"/>
    <s v="M"/>
    <n v="2"/>
    <n v="170000"/>
    <n v="10"/>
    <x v="1"/>
    <n v="306000"/>
  </r>
  <r>
    <s v="ORD-1735"/>
    <x v="18"/>
    <x v="18"/>
    <x v="13"/>
    <x v="8"/>
    <s v="L"/>
    <n v="2"/>
    <n v="395000"/>
    <n v="0"/>
    <x v="1"/>
    <n v="790000"/>
  </r>
  <r>
    <s v="ORD-1164"/>
    <x v="133"/>
    <x v="24"/>
    <x v="17"/>
    <x v="3"/>
    <s v="M"/>
    <n v="2"/>
    <n v="210000"/>
    <n v="5"/>
    <x v="1"/>
    <n v="399000"/>
  </r>
  <r>
    <s v="ORD-1976"/>
    <x v="134"/>
    <x v="17"/>
    <x v="4"/>
    <x v="3"/>
    <s v="M"/>
    <n v="-1"/>
    <n v="215000"/>
    <n v="10"/>
    <x v="1"/>
    <n v="-193500"/>
  </r>
  <r>
    <s v="ORD-1861"/>
    <x v="135"/>
    <x v="12"/>
    <x v="10"/>
    <x v="6"/>
    <s v="S"/>
    <n v="1"/>
    <n v="105000"/>
    <n v="0"/>
    <x v="4"/>
    <n v="105000"/>
  </r>
  <r>
    <s v="ORD-1269"/>
    <x v="36"/>
    <x v="11"/>
    <x v="9"/>
    <x v="4"/>
    <s v="M"/>
    <n v="4"/>
    <n v="195000"/>
    <n v="0"/>
    <x v="1"/>
    <n v="780000"/>
  </r>
  <r>
    <s v="ORD-1450"/>
    <x v="136"/>
    <x v="34"/>
    <x v="23"/>
    <x v="7"/>
    <s v="M"/>
    <n v="5"/>
    <n v="305000"/>
    <n v="0"/>
    <x v="1"/>
    <n v="1525000"/>
  </r>
  <r>
    <s v="ORD-1548"/>
    <x v="137"/>
    <x v="24"/>
    <x v="17"/>
    <x v="3"/>
    <s v="M"/>
    <n v="-2"/>
    <n v="210000"/>
    <n v="10"/>
    <x v="1"/>
    <n v="-378000"/>
  </r>
  <r>
    <s v="ORD-1256"/>
    <x v="138"/>
    <x v="14"/>
    <x v="12"/>
    <x v="7"/>
    <s v="S"/>
    <n v="1"/>
    <n v="295000"/>
    <n v="0"/>
    <x v="3"/>
    <n v="295000"/>
  </r>
  <r>
    <s v="ORD-2181"/>
    <x v="69"/>
    <x v="31"/>
    <x v="10"/>
    <x v="6"/>
    <s v="L"/>
    <n v="2"/>
    <n v="105000"/>
    <n v="0"/>
    <x v="2"/>
    <n v="210000"/>
  </r>
  <r>
    <s v="ORD-1798"/>
    <x v="139"/>
    <x v="30"/>
    <x v="16"/>
    <x v="0"/>
    <s v="S"/>
    <n v="4"/>
    <n v="430000"/>
    <n v="0"/>
    <x v="1"/>
    <n v="1720000"/>
  </r>
  <r>
    <s v="ORD-1315"/>
    <x v="62"/>
    <x v="37"/>
    <x v="8"/>
    <x v="3"/>
    <s v="M"/>
    <n v="1"/>
    <n v="220000"/>
    <n v="0"/>
    <x v="1"/>
    <n v="220000"/>
  </r>
  <r>
    <s v="ORD-1118"/>
    <x v="15"/>
    <x v="6"/>
    <x v="5"/>
    <x v="4"/>
    <s v="M"/>
    <n v="2"/>
    <n v="198000"/>
    <n v="0"/>
    <x v="4"/>
    <n v="396000"/>
  </r>
  <r>
    <s v="ORD-1462"/>
    <x v="140"/>
    <x v="17"/>
    <x v="4"/>
    <x v="3"/>
    <s v="M"/>
    <n v="1"/>
    <n v="215000"/>
    <n v="0"/>
    <x v="1"/>
    <n v="215000"/>
  </r>
  <r>
    <s v="ORD-1986"/>
    <x v="141"/>
    <x v="39"/>
    <x v="19"/>
    <x v="0"/>
    <s v="M"/>
    <n v="4"/>
    <n v="440000"/>
    <n v="10"/>
    <x v="0"/>
    <n v="1584000"/>
  </r>
  <r>
    <s v="ORD-1299"/>
    <x v="142"/>
    <x v="2"/>
    <x v="1"/>
    <x v="1"/>
    <s v="M"/>
    <n v="3"/>
    <n v="265000"/>
    <n v="0"/>
    <x v="3"/>
    <n v="795000"/>
  </r>
  <r>
    <s v="ORD-1586"/>
    <x v="143"/>
    <x v="27"/>
    <x v="19"/>
    <x v="0"/>
    <s v="L"/>
    <n v="1"/>
    <n v="440000"/>
    <n v="0"/>
    <x v="4"/>
    <n v="440000"/>
  </r>
  <r>
    <s v="ORD-1725"/>
    <x v="20"/>
    <x v="0"/>
    <x v="0"/>
    <x v="0"/>
    <s v="M"/>
    <n v="2"/>
    <n v="420000"/>
    <n v="0"/>
    <x v="2"/>
    <n v="840000"/>
  </r>
  <r>
    <s v="ORD-1383"/>
    <x v="144"/>
    <x v="38"/>
    <x v="15"/>
    <x v="9"/>
    <s v="S"/>
    <n v="3"/>
    <n v="170000"/>
    <n v="0"/>
    <x v="1"/>
    <n v="510000"/>
  </r>
  <r>
    <s v="ORD-1833"/>
    <x v="17"/>
    <x v="35"/>
    <x v="13"/>
    <x v="8"/>
    <s v="M"/>
    <n v="3"/>
    <n v="395000"/>
    <n v="15"/>
    <x v="3"/>
    <n v="1007250"/>
  </r>
  <r>
    <s v="ORD-1903"/>
    <x v="145"/>
    <x v="21"/>
    <x v="8"/>
    <x v="3"/>
    <s v="L"/>
    <n v="1"/>
    <n v="220000"/>
    <n v="0"/>
    <x v="2"/>
    <n v="220000"/>
  </r>
  <r>
    <s v="ORD-2158"/>
    <x v="24"/>
    <x v="0"/>
    <x v="0"/>
    <x v="0"/>
    <s v="Unknown"/>
    <n v="5"/>
    <n v="420000"/>
    <n v="0"/>
    <x v="1"/>
    <n v="2100000"/>
  </r>
  <r>
    <s v="ORD-1216"/>
    <x v="3"/>
    <x v="20"/>
    <x v="14"/>
    <x v="0"/>
    <s v="M"/>
    <n v="1"/>
    <n v="425000"/>
    <n v="0"/>
    <x v="2"/>
    <n v="425000"/>
  </r>
  <r>
    <s v="ORD-1008"/>
    <x v="89"/>
    <x v="23"/>
    <x v="16"/>
    <x v="0"/>
    <s v="M"/>
    <n v="1"/>
    <n v="430000"/>
    <n v="0"/>
    <x v="3"/>
    <n v="430000"/>
  </r>
  <r>
    <s v="ORD-1069"/>
    <x v="10"/>
    <x v="36"/>
    <x v="9"/>
    <x v="4"/>
    <s v="S"/>
    <n v="4"/>
    <n v="195000"/>
    <n v="15"/>
    <x v="1"/>
    <n v="663000"/>
  </r>
  <r>
    <s v="ORD-1283"/>
    <x v="146"/>
    <x v="30"/>
    <x v="16"/>
    <x v="0"/>
    <s v="S"/>
    <n v="2"/>
    <n v="430000"/>
    <n v="0"/>
    <x v="1"/>
    <n v="860000"/>
  </r>
  <r>
    <s v="ORD-1318"/>
    <x v="147"/>
    <x v="39"/>
    <x v="19"/>
    <x v="0"/>
    <s v="M"/>
    <n v="3"/>
    <n v="440000"/>
    <n v="0"/>
    <x v="1"/>
    <n v="1320000"/>
  </r>
  <r>
    <s v="ORD-1706"/>
    <x v="104"/>
    <x v="29"/>
    <x v="21"/>
    <x v="1"/>
    <s v="M"/>
    <n v="1"/>
    <n v="280000"/>
    <n v="0"/>
    <x v="2"/>
    <n v="280000"/>
  </r>
  <r>
    <s v="ORD-1066"/>
    <x v="65"/>
    <x v="6"/>
    <x v="5"/>
    <x v="4"/>
    <s v="Unknown"/>
    <n v="3"/>
    <n v="198000"/>
    <n v="0"/>
    <x v="0"/>
    <n v="594000"/>
  </r>
  <r>
    <s v="ORD-1398"/>
    <x v="19"/>
    <x v="12"/>
    <x v="10"/>
    <x v="6"/>
    <s v="S"/>
    <n v="1"/>
    <n v="105000"/>
    <n v="10"/>
    <x v="1"/>
    <n v="94500"/>
  </r>
  <r>
    <s v="ORD-2192"/>
    <x v="148"/>
    <x v="11"/>
    <x v="9"/>
    <x v="4"/>
    <s v="M"/>
    <n v="2"/>
    <n v="195000"/>
    <n v="0"/>
    <x v="1"/>
    <n v="390000"/>
  </r>
  <r>
    <s v="ORD-1175"/>
    <x v="98"/>
    <x v="16"/>
    <x v="12"/>
    <x v="7"/>
    <s v="M"/>
    <n v="3"/>
    <n v="295000"/>
    <n v="0"/>
    <x v="0"/>
    <n v="885000"/>
  </r>
  <r>
    <s v="ORD-1400"/>
    <x v="149"/>
    <x v="11"/>
    <x v="9"/>
    <x v="4"/>
    <s v="M"/>
    <n v="1"/>
    <n v="195000"/>
    <n v="0"/>
    <x v="2"/>
    <n v="195000"/>
  </r>
  <r>
    <s v="ORD-2073"/>
    <x v="150"/>
    <x v="7"/>
    <x v="6"/>
    <x v="5"/>
    <s v="M"/>
    <n v="2"/>
    <n v="320000"/>
    <n v="0"/>
    <x v="0"/>
    <n v="640000"/>
  </r>
  <r>
    <s v="ORD-1658"/>
    <x v="121"/>
    <x v="23"/>
    <x v="16"/>
    <x v="0"/>
    <s v="M"/>
    <n v="2"/>
    <n v="430000"/>
    <n v="0"/>
    <x v="0"/>
    <n v="860000"/>
  </r>
  <r>
    <s v="ORD-1250"/>
    <x v="151"/>
    <x v="17"/>
    <x v="4"/>
    <x v="3"/>
    <s v="M"/>
    <n v="1"/>
    <n v="215000"/>
    <n v="0"/>
    <x v="4"/>
    <n v="215000"/>
  </r>
  <r>
    <s v="ORD-1718"/>
    <x v="57"/>
    <x v="6"/>
    <x v="5"/>
    <x v="4"/>
    <s v="M"/>
    <n v="2"/>
    <n v="198000"/>
    <n v="0"/>
    <x v="1"/>
    <n v="396000"/>
  </r>
  <r>
    <s v="ORD-2112"/>
    <x v="103"/>
    <x v="2"/>
    <x v="1"/>
    <x v="1"/>
    <s v="M"/>
    <n v="4"/>
    <n v="265000"/>
    <n v="0"/>
    <x v="1"/>
    <n v="1060000"/>
  </r>
  <r>
    <s v="ORD-1531"/>
    <x v="152"/>
    <x v="30"/>
    <x v="16"/>
    <x v="0"/>
    <s v="S"/>
    <n v="5"/>
    <n v="430000"/>
    <n v="0"/>
    <x v="3"/>
    <n v="2150000"/>
  </r>
  <r>
    <s v="ORD-1481"/>
    <x v="0"/>
    <x v="9"/>
    <x v="7"/>
    <x v="3"/>
    <s v="M"/>
    <n v="2"/>
    <n v="235000"/>
    <n v="0"/>
    <x v="0"/>
    <n v="470000"/>
  </r>
  <r>
    <s v="ORD-1028"/>
    <x v="8"/>
    <x v="6"/>
    <x v="5"/>
    <x v="4"/>
    <s v="M"/>
    <n v="1"/>
    <n v="198000"/>
    <n v="0"/>
    <x v="1"/>
    <n v="198000"/>
  </r>
  <r>
    <s v="ORD-1713"/>
    <x v="153"/>
    <x v="29"/>
    <x v="21"/>
    <x v="1"/>
    <s v="M"/>
    <n v="2"/>
    <n v="280000"/>
    <n v="15"/>
    <x v="3"/>
    <n v="476000"/>
  </r>
  <r>
    <s v="ORD-2162"/>
    <x v="34"/>
    <x v="34"/>
    <x v="23"/>
    <x v="7"/>
    <s v="M"/>
    <n v="1"/>
    <n v="305000"/>
    <n v="0"/>
    <x v="0"/>
    <n v="305000"/>
  </r>
  <r>
    <s v="ORD-1373"/>
    <x v="59"/>
    <x v="38"/>
    <x v="15"/>
    <x v="9"/>
    <s v="S"/>
    <n v="3"/>
    <n v="170000"/>
    <n v="5"/>
    <x v="3"/>
    <n v="484500"/>
  </r>
  <r>
    <s v="ORD-1459"/>
    <x v="154"/>
    <x v="34"/>
    <x v="23"/>
    <x v="7"/>
    <s v="M"/>
    <n v="-2"/>
    <n v="305000"/>
    <n v="5"/>
    <x v="1"/>
    <n v="-579500"/>
  </r>
  <r>
    <s v="ORD-1262"/>
    <x v="155"/>
    <x v="14"/>
    <x v="12"/>
    <x v="7"/>
    <s v="Unknown"/>
    <n v="1"/>
    <n v="295000"/>
    <n v="0"/>
    <x v="1"/>
    <n v="295000"/>
  </r>
  <r>
    <s v="ORD-1194"/>
    <x v="156"/>
    <x v="37"/>
    <x v="8"/>
    <x v="3"/>
    <s v="M"/>
    <n v="5"/>
    <n v="220000"/>
    <n v="15"/>
    <x v="4"/>
    <n v="935000"/>
  </r>
  <r>
    <s v="ORD-1886"/>
    <x v="157"/>
    <x v="38"/>
    <x v="15"/>
    <x v="9"/>
    <s v="S"/>
    <n v="2"/>
    <n v="170000"/>
    <n v="5"/>
    <x v="1"/>
    <n v="323000"/>
  </r>
  <r>
    <s v="ORD-1969"/>
    <x v="158"/>
    <x v="22"/>
    <x v="15"/>
    <x v="9"/>
    <s v="M"/>
    <n v="1"/>
    <n v="170000"/>
    <n v="0"/>
    <x v="0"/>
    <n v="170000"/>
  </r>
  <r>
    <s v="ORD-1298"/>
    <x v="159"/>
    <x v="25"/>
    <x v="10"/>
    <x v="6"/>
    <s v="M"/>
    <n v="5"/>
    <n v="105000"/>
    <n v="0"/>
    <x v="1"/>
    <n v="525000"/>
  </r>
  <r>
    <s v="ORD-1853"/>
    <x v="77"/>
    <x v="11"/>
    <x v="9"/>
    <x v="4"/>
    <s v="M"/>
    <n v="4"/>
    <n v="195000"/>
    <n v="0"/>
    <x v="1"/>
    <n v="780000"/>
  </r>
  <r>
    <s v="ORD-1582"/>
    <x v="23"/>
    <x v="3"/>
    <x v="2"/>
    <x v="2"/>
    <s v="M"/>
    <n v="1"/>
    <n v="182000"/>
    <n v="15"/>
    <x v="0"/>
    <n v="154700"/>
  </r>
  <r>
    <s v="ORD-1223"/>
    <x v="11"/>
    <x v="3"/>
    <x v="2"/>
    <x v="2"/>
    <s v="M"/>
    <n v="1"/>
    <n v="182000"/>
    <n v="15"/>
    <x v="0"/>
    <n v="154700"/>
  </r>
  <r>
    <s v="ORD-1543"/>
    <x v="160"/>
    <x v="34"/>
    <x v="23"/>
    <x v="7"/>
    <s v="Unknown"/>
    <n v="4"/>
    <n v="305000"/>
    <n v="0"/>
    <x v="2"/>
    <n v="1220000"/>
  </r>
  <r>
    <s v="ORD-1854"/>
    <x v="161"/>
    <x v="12"/>
    <x v="10"/>
    <x v="6"/>
    <s v="S"/>
    <n v="2"/>
    <n v="105000"/>
    <n v="5"/>
    <x v="3"/>
    <n v="199500"/>
  </r>
  <r>
    <s v="ORD-1709"/>
    <x v="162"/>
    <x v="23"/>
    <x v="16"/>
    <x v="0"/>
    <s v="Unknown"/>
    <n v="5"/>
    <n v="430000"/>
    <n v="0"/>
    <x v="0"/>
    <n v="2150000"/>
  </r>
  <r>
    <s v="ORD-1200"/>
    <x v="163"/>
    <x v="19"/>
    <x v="0"/>
    <x v="0"/>
    <s v="S"/>
    <n v="1"/>
    <n v="420000"/>
    <n v="15"/>
    <x v="0"/>
    <n v="357000"/>
  </r>
  <r>
    <s v="ORD-1761"/>
    <x v="164"/>
    <x v="9"/>
    <x v="7"/>
    <x v="3"/>
    <s v="M"/>
    <n v="1"/>
    <n v="235000"/>
    <n v="10"/>
    <x v="1"/>
    <n v="211500"/>
  </r>
  <r>
    <s v="ORD-2126"/>
    <x v="39"/>
    <x v="28"/>
    <x v="20"/>
    <x v="10"/>
    <s v="M"/>
    <n v="1"/>
    <n v="228000"/>
    <n v="20"/>
    <x v="0"/>
    <n v="182400"/>
  </r>
  <r>
    <s v="ORD-1327"/>
    <x v="165"/>
    <x v="16"/>
    <x v="12"/>
    <x v="7"/>
    <s v="M"/>
    <n v="-3"/>
    <n v="295000"/>
    <n v="0"/>
    <x v="0"/>
    <n v="-885000"/>
  </r>
  <r>
    <s v="ORD-1724"/>
    <x v="131"/>
    <x v="2"/>
    <x v="1"/>
    <x v="1"/>
    <s v="M"/>
    <n v="4"/>
    <n v="265000"/>
    <n v="0"/>
    <x v="0"/>
    <n v="1060000"/>
  </r>
  <r>
    <s v="ORD-1034"/>
    <x v="44"/>
    <x v="21"/>
    <x v="8"/>
    <x v="3"/>
    <s v="L"/>
    <n v="1"/>
    <n v="220000"/>
    <n v="0"/>
    <x v="0"/>
    <n v="220000"/>
  </r>
  <r>
    <s v="ORD-1655"/>
    <x v="4"/>
    <x v="0"/>
    <x v="0"/>
    <x v="0"/>
    <s v="M"/>
    <n v="5"/>
    <n v="420000"/>
    <n v="15"/>
    <x v="1"/>
    <n v="1785000"/>
  </r>
  <r>
    <s v="ORD-1678"/>
    <x v="67"/>
    <x v="15"/>
    <x v="6"/>
    <x v="5"/>
    <s v="L"/>
    <n v="1"/>
    <n v="320000"/>
    <n v="0"/>
    <x v="2"/>
    <n v="320000"/>
  </r>
  <r>
    <s v="ORD-1307"/>
    <x v="145"/>
    <x v="3"/>
    <x v="2"/>
    <x v="2"/>
    <s v="M"/>
    <n v="1"/>
    <n v="182000"/>
    <n v="15"/>
    <x v="3"/>
    <n v="154700"/>
  </r>
  <r>
    <s v="ORD-1449"/>
    <x v="166"/>
    <x v="34"/>
    <x v="23"/>
    <x v="7"/>
    <s v="M"/>
    <n v="1"/>
    <n v="305000"/>
    <n v="0"/>
    <x v="1"/>
    <n v="305000"/>
  </r>
  <r>
    <s v="ORD-1265"/>
    <x v="167"/>
    <x v="33"/>
    <x v="22"/>
    <x v="7"/>
    <s v="M"/>
    <n v="1"/>
    <n v="330000"/>
    <n v="5"/>
    <x v="3"/>
    <n v="313500"/>
  </r>
  <r>
    <s v="ORD-2153"/>
    <x v="168"/>
    <x v="34"/>
    <x v="23"/>
    <x v="7"/>
    <s v="M"/>
    <n v="3"/>
    <n v="305000"/>
    <n v="0"/>
    <x v="0"/>
    <n v="915000"/>
  </r>
  <r>
    <s v="ORD-2080"/>
    <x v="169"/>
    <x v="31"/>
    <x v="10"/>
    <x v="6"/>
    <s v="L"/>
    <n v="1"/>
    <n v="105000"/>
    <n v="10"/>
    <x v="1"/>
    <n v="94500"/>
  </r>
  <r>
    <s v="ORD-1703"/>
    <x v="170"/>
    <x v="6"/>
    <x v="5"/>
    <x v="4"/>
    <s v="M"/>
    <n v="1"/>
    <n v="198000"/>
    <n v="0"/>
    <x v="0"/>
    <n v="198000"/>
  </r>
  <r>
    <s v="ORD-1753"/>
    <x v="171"/>
    <x v="17"/>
    <x v="4"/>
    <x v="3"/>
    <s v="M"/>
    <n v="1"/>
    <n v="215000"/>
    <n v="0"/>
    <x v="0"/>
    <n v="215000"/>
  </r>
  <r>
    <s v="ORD-2050"/>
    <x v="130"/>
    <x v="11"/>
    <x v="9"/>
    <x v="4"/>
    <s v="M"/>
    <n v="1"/>
    <n v="195000"/>
    <n v="0"/>
    <x v="2"/>
    <n v="195000"/>
  </r>
  <r>
    <s v="ORD-1314"/>
    <x v="84"/>
    <x v="2"/>
    <x v="1"/>
    <x v="1"/>
    <s v="M"/>
    <n v="1"/>
    <n v="265000"/>
    <n v="0"/>
    <x v="2"/>
    <n v="265000"/>
  </r>
  <r>
    <s v="ORD-1894"/>
    <x v="118"/>
    <x v="32"/>
    <x v="11"/>
    <x v="1"/>
    <s v="M"/>
    <n v="1"/>
    <n v="260000"/>
    <n v="0"/>
    <x v="3"/>
    <n v="260000"/>
  </r>
  <r>
    <s v="ORD-1963"/>
    <x v="107"/>
    <x v="38"/>
    <x v="15"/>
    <x v="9"/>
    <s v="S"/>
    <n v="4"/>
    <n v="170000"/>
    <n v="0"/>
    <x v="1"/>
    <n v="680000"/>
  </r>
  <r>
    <s v="ORD-1577"/>
    <x v="172"/>
    <x v="5"/>
    <x v="4"/>
    <x v="3"/>
    <s v="L"/>
    <n v="1"/>
    <n v="215000"/>
    <n v="0"/>
    <x v="1"/>
    <n v="215000"/>
  </r>
  <r>
    <s v="ORD-1308"/>
    <x v="173"/>
    <x v="31"/>
    <x v="10"/>
    <x v="6"/>
    <s v="L"/>
    <n v="1"/>
    <n v="105000"/>
    <n v="5"/>
    <x v="2"/>
    <n v="99750"/>
  </r>
  <r>
    <s v="ORD-1469"/>
    <x v="174"/>
    <x v="37"/>
    <x v="8"/>
    <x v="3"/>
    <s v="M"/>
    <n v="4"/>
    <n v="220000"/>
    <n v="0"/>
    <x v="1"/>
    <n v="880000"/>
  </r>
  <r>
    <s v="ORD-1964"/>
    <x v="175"/>
    <x v="32"/>
    <x v="11"/>
    <x v="1"/>
    <s v="M"/>
    <n v="3"/>
    <n v="260000"/>
    <n v="0"/>
    <x v="1"/>
    <n v="780000"/>
  </r>
  <r>
    <s v="ORD-1349"/>
    <x v="2"/>
    <x v="18"/>
    <x v="13"/>
    <x v="8"/>
    <s v="L"/>
    <n v="1"/>
    <n v="395000"/>
    <n v="0"/>
    <x v="4"/>
    <n v="395000"/>
  </r>
  <r>
    <s v="ORD-1168"/>
    <x v="176"/>
    <x v="20"/>
    <x v="14"/>
    <x v="0"/>
    <s v="M"/>
    <n v="1"/>
    <n v="425000"/>
    <n v="0"/>
    <x v="0"/>
    <n v="425000"/>
  </r>
  <r>
    <s v="ORD-1778"/>
    <x v="115"/>
    <x v="0"/>
    <x v="0"/>
    <x v="0"/>
    <s v="M"/>
    <n v="2"/>
    <n v="420000"/>
    <n v="0"/>
    <x v="3"/>
    <n v="840000"/>
  </r>
  <r>
    <s v="ORD-1009"/>
    <x v="177"/>
    <x v="7"/>
    <x v="6"/>
    <x v="5"/>
    <s v="M"/>
    <n v="-4"/>
    <n v="320000"/>
    <n v="10"/>
    <x v="2"/>
    <n v="-1152000"/>
  </r>
  <r>
    <s v="ORD-1938"/>
    <x v="93"/>
    <x v="23"/>
    <x v="16"/>
    <x v="0"/>
    <s v="M"/>
    <n v="2"/>
    <n v="430000"/>
    <n v="0"/>
    <x v="0"/>
    <n v="860000"/>
  </r>
  <r>
    <s v="ORD-1981"/>
    <x v="178"/>
    <x v="35"/>
    <x v="13"/>
    <x v="8"/>
    <s v="M"/>
    <n v="2"/>
    <n v="395000"/>
    <n v="5"/>
    <x v="0"/>
    <n v="750500"/>
  </r>
  <r>
    <s v="ORD-1797"/>
    <x v="80"/>
    <x v="4"/>
    <x v="3"/>
    <x v="3"/>
    <s v="M"/>
    <n v="3"/>
    <n v="210000"/>
    <n v="0"/>
    <x v="3"/>
    <n v="630000"/>
  </r>
  <r>
    <s v="ORD-1426"/>
    <x v="11"/>
    <x v="34"/>
    <x v="23"/>
    <x v="7"/>
    <s v="M"/>
    <n v="1"/>
    <n v="305000"/>
    <n v="5"/>
    <x v="0"/>
    <n v="289750"/>
  </r>
  <r>
    <s v="ORD-1335"/>
    <x v="136"/>
    <x v="29"/>
    <x v="21"/>
    <x v="1"/>
    <s v="M"/>
    <n v="1"/>
    <n v="280000"/>
    <n v="0"/>
    <x v="0"/>
    <n v="280000"/>
  </r>
  <r>
    <s v="ORD-1476"/>
    <x v="179"/>
    <x v="4"/>
    <x v="3"/>
    <x v="3"/>
    <s v="M"/>
    <n v="2"/>
    <n v="210000"/>
    <n v="0"/>
    <x v="1"/>
    <n v="420000"/>
  </r>
  <r>
    <s v="ORD-1051"/>
    <x v="180"/>
    <x v="32"/>
    <x v="11"/>
    <x v="1"/>
    <s v="M"/>
    <n v="3"/>
    <n v="260000"/>
    <n v="0"/>
    <x v="1"/>
    <n v="780000"/>
  </r>
  <r>
    <s v="ORD-1747"/>
    <x v="181"/>
    <x v="23"/>
    <x v="16"/>
    <x v="0"/>
    <s v="M"/>
    <n v="1"/>
    <n v="430000"/>
    <n v="0"/>
    <x v="3"/>
    <n v="430000"/>
  </r>
  <r>
    <s v="ORD-1052"/>
    <x v="74"/>
    <x v="20"/>
    <x v="14"/>
    <x v="0"/>
    <s v="M"/>
    <n v="4"/>
    <n v="425000"/>
    <n v="0"/>
    <x v="0"/>
    <n v="1700000"/>
  </r>
  <r>
    <s v="ORD-1014"/>
    <x v="182"/>
    <x v="29"/>
    <x v="21"/>
    <x v="1"/>
    <s v="M"/>
    <n v="1"/>
    <n v="280000"/>
    <n v="0"/>
    <x v="0"/>
    <n v="280000"/>
  </r>
  <r>
    <s v="ORD-1814"/>
    <x v="8"/>
    <x v="31"/>
    <x v="10"/>
    <x v="6"/>
    <s v="L"/>
    <n v="1"/>
    <n v="105000"/>
    <n v="0"/>
    <x v="3"/>
    <n v="105000"/>
  </r>
  <r>
    <s v="ORD-1920"/>
    <x v="183"/>
    <x v="12"/>
    <x v="10"/>
    <x v="6"/>
    <s v="S"/>
    <n v="1"/>
    <n v="105000"/>
    <n v="15"/>
    <x v="1"/>
    <n v="89250"/>
  </r>
  <r>
    <s v="ORD-1021"/>
    <x v="184"/>
    <x v="10"/>
    <x v="8"/>
    <x v="3"/>
    <s v="S"/>
    <n v="3"/>
    <n v="220000"/>
    <n v="0"/>
    <x v="1"/>
    <n v="660000"/>
  </r>
  <r>
    <s v="ORD-1789"/>
    <x v="132"/>
    <x v="29"/>
    <x v="21"/>
    <x v="1"/>
    <s v="M"/>
    <n v="4"/>
    <n v="280000"/>
    <n v="0"/>
    <x v="3"/>
    <n v="1120000"/>
  </r>
  <r>
    <s v="ORD-1648"/>
    <x v="114"/>
    <x v="21"/>
    <x v="8"/>
    <x v="3"/>
    <s v="L"/>
    <n v="3"/>
    <n v="220000"/>
    <n v="10"/>
    <x v="1"/>
    <n v="594000"/>
  </r>
  <r>
    <s v="ORD-1932"/>
    <x v="18"/>
    <x v="37"/>
    <x v="8"/>
    <x v="3"/>
    <s v="M"/>
    <n v="1"/>
    <n v="220000"/>
    <n v="0"/>
    <x v="0"/>
    <n v="220000"/>
  </r>
  <r>
    <s v="ORD-1356"/>
    <x v="136"/>
    <x v="14"/>
    <x v="12"/>
    <x v="7"/>
    <s v="S"/>
    <n v="5"/>
    <n v="295000"/>
    <n v="5"/>
    <x v="1"/>
    <n v="1401250"/>
  </r>
  <r>
    <s v="ORD-2174"/>
    <x v="185"/>
    <x v="10"/>
    <x v="8"/>
    <x v="3"/>
    <s v="S"/>
    <n v="3"/>
    <n v="220000"/>
    <n v="0"/>
    <x v="0"/>
    <n v="660000"/>
  </r>
  <r>
    <s v="ORD-1004"/>
    <x v="186"/>
    <x v="37"/>
    <x v="8"/>
    <x v="3"/>
    <s v="M"/>
    <n v="2"/>
    <n v="220000"/>
    <n v="0"/>
    <x v="0"/>
    <n v="440000"/>
  </r>
  <r>
    <s v="ORD-1993"/>
    <x v="187"/>
    <x v="21"/>
    <x v="8"/>
    <x v="3"/>
    <s v="L"/>
    <n v="2"/>
    <n v="220000"/>
    <n v="0"/>
    <x v="1"/>
    <n v="440000"/>
  </r>
  <r>
    <s v="ORD-1289"/>
    <x v="98"/>
    <x v="38"/>
    <x v="15"/>
    <x v="9"/>
    <s v="S"/>
    <n v="2"/>
    <n v="170000"/>
    <n v="0"/>
    <x v="1"/>
    <n v="340000"/>
  </r>
  <r>
    <s v="ORD-1159"/>
    <x v="101"/>
    <x v="1"/>
    <x v="0"/>
    <x v="0"/>
    <s v="L"/>
    <n v="1"/>
    <n v="420000"/>
    <n v="0"/>
    <x v="3"/>
    <n v="420000"/>
  </r>
  <r>
    <s v="ORD-1081"/>
    <x v="42"/>
    <x v="34"/>
    <x v="23"/>
    <x v="7"/>
    <s v="M"/>
    <n v="1"/>
    <n v="305000"/>
    <n v="0"/>
    <x v="1"/>
    <n v="305000"/>
  </r>
  <r>
    <s v="ORD-1838"/>
    <x v="159"/>
    <x v="24"/>
    <x v="17"/>
    <x v="3"/>
    <s v="M"/>
    <n v="1"/>
    <n v="210000"/>
    <n v="0"/>
    <x v="1"/>
    <n v="210000"/>
  </r>
  <r>
    <s v="ORD-1681"/>
    <x v="188"/>
    <x v="27"/>
    <x v="19"/>
    <x v="0"/>
    <s v="L"/>
    <n v="1"/>
    <n v="440000"/>
    <n v="10"/>
    <x v="4"/>
    <n v="396000"/>
  </r>
  <r>
    <s v="ORD-1040"/>
    <x v="189"/>
    <x v="38"/>
    <x v="15"/>
    <x v="9"/>
    <s v="S"/>
    <n v="1"/>
    <n v="170000"/>
    <n v="0"/>
    <x v="1"/>
    <n v="170000"/>
  </r>
  <r>
    <s v="ORD-1359"/>
    <x v="51"/>
    <x v="11"/>
    <x v="9"/>
    <x v="4"/>
    <s v="M"/>
    <n v="1"/>
    <n v="195000"/>
    <n v="10"/>
    <x v="3"/>
    <n v="175500"/>
  </r>
  <r>
    <s v="ORD-1627"/>
    <x v="190"/>
    <x v="6"/>
    <x v="5"/>
    <x v="4"/>
    <s v="M"/>
    <n v="1"/>
    <n v="198000"/>
    <n v="5"/>
    <x v="4"/>
    <n v="188100"/>
  </r>
  <r>
    <s v="ORD-1651"/>
    <x v="191"/>
    <x v="23"/>
    <x v="16"/>
    <x v="0"/>
    <s v="M"/>
    <n v="1"/>
    <n v="430000"/>
    <n v="10"/>
    <x v="3"/>
    <n v="387000"/>
  </r>
  <r>
    <s v="ORD-1347"/>
    <x v="30"/>
    <x v="3"/>
    <x v="2"/>
    <x v="2"/>
    <s v="M"/>
    <n v="2"/>
    <n v="182000"/>
    <n v="0"/>
    <x v="0"/>
    <n v="364000"/>
  </r>
  <r>
    <s v="ORD-1988"/>
    <x v="192"/>
    <x v="19"/>
    <x v="0"/>
    <x v="0"/>
    <s v="S"/>
    <n v="1"/>
    <n v="420000"/>
    <n v="15"/>
    <x v="1"/>
    <n v="357000"/>
  </r>
  <r>
    <s v="ORD-1025"/>
    <x v="136"/>
    <x v="32"/>
    <x v="11"/>
    <x v="1"/>
    <s v="M"/>
    <n v="1"/>
    <n v="260000"/>
    <n v="0"/>
    <x v="1"/>
    <n v="260000"/>
  </r>
  <r>
    <s v="ORD-1825"/>
    <x v="56"/>
    <x v="30"/>
    <x v="16"/>
    <x v="0"/>
    <s v="S"/>
    <n v="1"/>
    <n v="430000"/>
    <n v="0"/>
    <x v="0"/>
    <n v="430000"/>
  </r>
  <r>
    <s v="ORD-2041"/>
    <x v="70"/>
    <x v="9"/>
    <x v="7"/>
    <x v="3"/>
    <s v="M"/>
    <n v="1"/>
    <n v="235000"/>
    <n v="15"/>
    <x v="3"/>
    <n v="199750"/>
  </r>
  <r>
    <s v="ORD-1228"/>
    <x v="49"/>
    <x v="33"/>
    <x v="22"/>
    <x v="7"/>
    <s v="M"/>
    <n v="5"/>
    <n v="330000"/>
    <n v="5"/>
    <x v="0"/>
    <n v="1567500"/>
  </r>
  <r>
    <s v="ORD-1427"/>
    <x v="81"/>
    <x v="5"/>
    <x v="4"/>
    <x v="3"/>
    <s v="L"/>
    <n v="2"/>
    <n v="215000"/>
    <n v="0"/>
    <x v="1"/>
    <n v="430000"/>
  </r>
  <r>
    <s v="ORD-1965"/>
    <x v="186"/>
    <x v="22"/>
    <x v="15"/>
    <x v="9"/>
    <s v="Unknown"/>
    <n v="4"/>
    <n v="170000"/>
    <n v="0"/>
    <x v="4"/>
    <n v="680000"/>
  </r>
  <r>
    <s v="ORD-1169"/>
    <x v="193"/>
    <x v="22"/>
    <x v="15"/>
    <x v="9"/>
    <s v="M"/>
    <n v="2"/>
    <n v="170000"/>
    <n v="0"/>
    <x v="2"/>
    <n v="340000"/>
  </r>
  <r>
    <s v="ORD-1024"/>
    <x v="55"/>
    <x v="23"/>
    <x v="16"/>
    <x v="0"/>
    <s v="M"/>
    <n v="3"/>
    <n v="430000"/>
    <n v="10"/>
    <x v="1"/>
    <n v="1161000"/>
  </r>
  <r>
    <s v="ORD-2048"/>
    <x v="120"/>
    <x v="25"/>
    <x v="10"/>
    <x v="6"/>
    <s v="M"/>
    <n v="1"/>
    <n v="105000"/>
    <n v="5"/>
    <x v="1"/>
    <n v="99750"/>
  </r>
  <r>
    <s v="ORD-1884"/>
    <x v="55"/>
    <x v="18"/>
    <x v="13"/>
    <x v="8"/>
    <s v="L"/>
    <n v="1"/>
    <n v="395000"/>
    <n v="0"/>
    <x v="1"/>
    <n v="395000"/>
  </r>
  <r>
    <s v="ORD-1677"/>
    <x v="194"/>
    <x v="27"/>
    <x v="19"/>
    <x v="0"/>
    <s v="L"/>
    <n v="1"/>
    <n v="440000"/>
    <n v="5"/>
    <x v="1"/>
    <n v="418000"/>
  </r>
  <r>
    <s v="ORD-1152"/>
    <x v="11"/>
    <x v="35"/>
    <x v="13"/>
    <x v="8"/>
    <s v="M"/>
    <n v="2"/>
    <n v="395000"/>
    <n v="0"/>
    <x v="0"/>
    <n v="790000"/>
  </r>
  <r>
    <s v="ORD-1195"/>
    <x v="179"/>
    <x v="37"/>
    <x v="8"/>
    <x v="3"/>
    <s v="M"/>
    <n v="1"/>
    <n v="220000"/>
    <n v="0"/>
    <x v="1"/>
    <n v="220000"/>
  </r>
  <r>
    <s v="ORD-1910"/>
    <x v="12"/>
    <x v="21"/>
    <x v="8"/>
    <x v="3"/>
    <s v="L"/>
    <n v="2"/>
    <n v="220000"/>
    <n v="0"/>
    <x v="0"/>
    <n v="440000"/>
  </r>
  <r>
    <s v="ORD-2055"/>
    <x v="179"/>
    <x v="9"/>
    <x v="7"/>
    <x v="3"/>
    <s v="M"/>
    <n v="2"/>
    <n v="235000"/>
    <n v="0"/>
    <x v="1"/>
    <n v="470000"/>
  </r>
  <r>
    <s v="ORD-1947"/>
    <x v="8"/>
    <x v="7"/>
    <x v="6"/>
    <x v="5"/>
    <s v="M"/>
    <n v="1"/>
    <n v="320000"/>
    <n v="15"/>
    <x v="1"/>
    <n v="272000"/>
  </r>
  <r>
    <s v="ORD-2043"/>
    <x v="120"/>
    <x v="5"/>
    <x v="4"/>
    <x v="3"/>
    <s v="L"/>
    <n v="1"/>
    <n v="215000"/>
    <n v="5"/>
    <x v="1"/>
    <n v="204250"/>
  </r>
  <r>
    <s v="ORD-2121"/>
    <x v="108"/>
    <x v="7"/>
    <x v="6"/>
    <x v="5"/>
    <s v="M"/>
    <n v="1"/>
    <n v="320000"/>
    <n v="0"/>
    <x v="1"/>
    <n v="320000"/>
  </r>
  <r>
    <s v="ORD-1921"/>
    <x v="195"/>
    <x v="1"/>
    <x v="0"/>
    <x v="0"/>
    <s v="L"/>
    <n v="1"/>
    <n v="420000"/>
    <n v="10"/>
    <x v="0"/>
    <n v="378000"/>
  </r>
  <r>
    <s v="ORD-1500"/>
    <x v="196"/>
    <x v="19"/>
    <x v="0"/>
    <x v="0"/>
    <s v="S"/>
    <n v="2"/>
    <n v="420000"/>
    <n v="20"/>
    <x v="1"/>
    <n v="672000"/>
  </r>
  <r>
    <s v="ORD-1683"/>
    <x v="121"/>
    <x v="31"/>
    <x v="10"/>
    <x v="6"/>
    <s v="L"/>
    <n v="1"/>
    <n v="105000"/>
    <n v="5"/>
    <x v="0"/>
    <n v="99750"/>
  </r>
  <r>
    <s v="ORD-1153"/>
    <x v="120"/>
    <x v="35"/>
    <x v="13"/>
    <x v="8"/>
    <s v="M"/>
    <n v="4"/>
    <n v="395000"/>
    <n v="0"/>
    <x v="0"/>
    <n v="1580000"/>
  </r>
  <r>
    <s v="ORD-1128"/>
    <x v="197"/>
    <x v="3"/>
    <x v="2"/>
    <x v="2"/>
    <s v="M"/>
    <n v="1"/>
    <n v="182000"/>
    <n v="0"/>
    <x v="1"/>
    <n v="182000"/>
  </r>
  <r>
    <s v="ORD-1112"/>
    <x v="91"/>
    <x v="37"/>
    <x v="8"/>
    <x v="3"/>
    <s v="M"/>
    <n v="1"/>
    <n v="220000"/>
    <n v="0"/>
    <x v="1"/>
    <n v="220000"/>
  </r>
  <r>
    <s v="ORD-1801"/>
    <x v="73"/>
    <x v="9"/>
    <x v="7"/>
    <x v="3"/>
    <s v="M"/>
    <n v="2"/>
    <n v="235000"/>
    <n v="10"/>
    <x v="0"/>
    <n v="423000"/>
  </r>
  <r>
    <s v="ORD-1632"/>
    <x v="28"/>
    <x v="5"/>
    <x v="4"/>
    <x v="3"/>
    <s v="L"/>
    <n v="1"/>
    <n v="215000"/>
    <n v="10"/>
    <x v="0"/>
    <n v="193500"/>
  </r>
  <r>
    <s v="ORD-1099"/>
    <x v="198"/>
    <x v="31"/>
    <x v="10"/>
    <x v="6"/>
    <s v="L"/>
    <n v="3"/>
    <n v="105000"/>
    <n v="5"/>
    <x v="2"/>
    <n v="299250"/>
  </r>
  <r>
    <s v="ORD-1229"/>
    <x v="199"/>
    <x v="37"/>
    <x v="8"/>
    <x v="3"/>
    <s v="M"/>
    <n v="1"/>
    <n v="220000"/>
    <n v="0"/>
    <x v="1"/>
    <n v="220000"/>
  </r>
  <r>
    <s v="ORD-1219"/>
    <x v="94"/>
    <x v="31"/>
    <x v="10"/>
    <x v="6"/>
    <s v="L"/>
    <n v="5"/>
    <n v="105000"/>
    <n v="0"/>
    <x v="2"/>
    <n v="525000"/>
  </r>
  <r>
    <s v="ORD-1019"/>
    <x v="200"/>
    <x v="4"/>
    <x v="3"/>
    <x v="3"/>
    <s v="M"/>
    <n v="1"/>
    <n v="210000"/>
    <n v="0"/>
    <x v="1"/>
    <n v="210000"/>
  </r>
  <r>
    <s v="ORD-1851"/>
    <x v="6"/>
    <x v="38"/>
    <x v="15"/>
    <x v="9"/>
    <s v="S"/>
    <n v="2"/>
    <n v="170000"/>
    <n v="5"/>
    <x v="2"/>
    <n v="323000"/>
  </r>
  <r>
    <s v="ORD-1279"/>
    <x v="201"/>
    <x v="12"/>
    <x v="10"/>
    <x v="6"/>
    <s v="Unknown"/>
    <n v="1"/>
    <n v="105000"/>
    <n v="0"/>
    <x v="1"/>
    <n v="105000"/>
  </r>
  <r>
    <s v="ORD-1139"/>
    <x v="200"/>
    <x v="2"/>
    <x v="1"/>
    <x v="1"/>
    <s v="M"/>
    <n v="2"/>
    <n v="265000"/>
    <n v="0"/>
    <x v="1"/>
    <n v="530000"/>
  </r>
  <r>
    <s v="ORD-1645"/>
    <x v="112"/>
    <x v="35"/>
    <x v="13"/>
    <x v="8"/>
    <s v="M"/>
    <n v="1"/>
    <n v="395000"/>
    <n v="5"/>
    <x v="0"/>
    <n v="375250"/>
  </r>
  <r>
    <s v="ORD-2034"/>
    <x v="174"/>
    <x v="7"/>
    <x v="6"/>
    <x v="5"/>
    <s v="M"/>
    <n v="1"/>
    <n v="320000"/>
    <n v="10"/>
    <x v="4"/>
    <n v="288000"/>
  </r>
  <r>
    <s v="ORD-1271"/>
    <x v="202"/>
    <x v="16"/>
    <x v="12"/>
    <x v="7"/>
    <s v="M"/>
    <n v="1"/>
    <n v="295000"/>
    <n v="0"/>
    <x v="1"/>
    <n v="295000"/>
  </r>
  <r>
    <s v="ORD-1949"/>
    <x v="171"/>
    <x v="35"/>
    <x v="13"/>
    <x v="8"/>
    <s v="M"/>
    <n v="1"/>
    <n v="395000"/>
    <n v="0"/>
    <x v="1"/>
    <n v="395000"/>
  </r>
  <r>
    <s v="ORD-1077"/>
    <x v="203"/>
    <x v="17"/>
    <x v="4"/>
    <x v="3"/>
    <s v="M"/>
    <n v="4"/>
    <n v="215000"/>
    <n v="0"/>
    <x v="1"/>
    <n v="860000"/>
  </r>
  <r>
    <s v="ORD-1172"/>
    <x v="174"/>
    <x v="23"/>
    <x v="16"/>
    <x v="0"/>
    <s v="M"/>
    <n v="1"/>
    <n v="430000"/>
    <n v="0"/>
    <x v="0"/>
    <n v="430000"/>
  </r>
  <r>
    <s v="ORD-1987"/>
    <x v="204"/>
    <x v="15"/>
    <x v="6"/>
    <x v="5"/>
    <s v="L"/>
    <n v="2"/>
    <n v="320000"/>
    <n v="0"/>
    <x v="0"/>
    <n v="640000"/>
  </r>
  <r>
    <s v="ORD-2139"/>
    <x v="43"/>
    <x v="27"/>
    <x v="19"/>
    <x v="0"/>
    <s v="L"/>
    <n v="1"/>
    <n v="440000"/>
    <n v="0"/>
    <x v="1"/>
    <n v="440000"/>
  </r>
  <r>
    <s v="ORD-1904"/>
    <x v="194"/>
    <x v="6"/>
    <x v="5"/>
    <x v="4"/>
    <s v="M"/>
    <n v="2"/>
    <n v="198000"/>
    <n v="0"/>
    <x v="1"/>
    <n v="396000"/>
  </r>
  <r>
    <s v="ORD-1827"/>
    <x v="205"/>
    <x v="39"/>
    <x v="19"/>
    <x v="0"/>
    <s v="M"/>
    <n v="4"/>
    <n v="440000"/>
    <n v="0"/>
    <x v="1"/>
    <n v="1760000"/>
  </r>
  <r>
    <s v="ORD-2149"/>
    <x v="167"/>
    <x v="29"/>
    <x v="21"/>
    <x v="1"/>
    <s v="M"/>
    <n v="1"/>
    <n v="280000"/>
    <n v="0"/>
    <x v="1"/>
    <n v="280000"/>
  </r>
  <r>
    <s v="ORD-1151"/>
    <x v="102"/>
    <x v="29"/>
    <x v="21"/>
    <x v="1"/>
    <s v="M"/>
    <n v="2"/>
    <n v="280000"/>
    <n v="0"/>
    <x v="0"/>
    <n v="560000"/>
  </r>
  <r>
    <s v="ORD-1715"/>
    <x v="8"/>
    <x v="19"/>
    <x v="0"/>
    <x v="0"/>
    <s v="S"/>
    <n v="1"/>
    <n v="420000"/>
    <n v="0"/>
    <x v="4"/>
    <n v="420000"/>
  </r>
  <r>
    <s v="ORD-1787"/>
    <x v="206"/>
    <x v="8"/>
    <x v="7"/>
    <x v="3"/>
    <s v="L"/>
    <n v="4"/>
    <n v="235000"/>
    <n v="15"/>
    <x v="3"/>
    <n v="799000"/>
  </r>
  <r>
    <s v="ORD-2131"/>
    <x v="207"/>
    <x v="31"/>
    <x v="10"/>
    <x v="6"/>
    <s v="L"/>
    <n v="1"/>
    <n v="105000"/>
    <n v="10"/>
    <x v="1"/>
    <n v="94500"/>
  </r>
  <r>
    <s v="ORD-1829"/>
    <x v="174"/>
    <x v="14"/>
    <x v="12"/>
    <x v="7"/>
    <s v="Unknown"/>
    <n v="1"/>
    <n v="295000"/>
    <n v="0"/>
    <x v="0"/>
    <n v="295000"/>
  </r>
  <r>
    <s v="ORD-1113"/>
    <x v="109"/>
    <x v="13"/>
    <x v="11"/>
    <x v="1"/>
    <s v="S"/>
    <n v="2"/>
    <n v="260000"/>
    <n v="20"/>
    <x v="0"/>
    <n v="416000"/>
  </r>
  <r>
    <s v="ORD-1206"/>
    <x v="208"/>
    <x v="30"/>
    <x v="16"/>
    <x v="0"/>
    <s v="S"/>
    <n v="1"/>
    <n v="430000"/>
    <n v="15"/>
    <x v="0"/>
    <n v="365500"/>
  </r>
  <r>
    <s v="ORD-1674"/>
    <x v="186"/>
    <x v="12"/>
    <x v="10"/>
    <x v="6"/>
    <s v="S"/>
    <n v="5"/>
    <n v="105000"/>
    <n v="0"/>
    <x v="3"/>
    <n v="525000"/>
  </r>
  <r>
    <s v="ORD-1672"/>
    <x v="173"/>
    <x v="27"/>
    <x v="19"/>
    <x v="0"/>
    <s v="L"/>
    <n v="1"/>
    <n v="440000"/>
    <n v="0"/>
    <x v="1"/>
    <n v="440000"/>
  </r>
  <r>
    <s v="ORD-1404"/>
    <x v="209"/>
    <x v="19"/>
    <x v="0"/>
    <x v="0"/>
    <s v="S"/>
    <n v="1"/>
    <n v="420000"/>
    <n v="0"/>
    <x v="1"/>
    <n v="420000"/>
  </r>
  <r>
    <s v="ORD-1180"/>
    <x v="210"/>
    <x v="18"/>
    <x v="13"/>
    <x v="8"/>
    <s v="L"/>
    <n v="1"/>
    <n v="395000"/>
    <n v="0"/>
    <x v="2"/>
    <n v="395000"/>
  </r>
  <r>
    <s v="ORD-2059"/>
    <x v="136"/>
    <x v="39"/>
    <x v="19"/>
    <x v="0"/>
    <s v="M"/>
    <n v="3"/>
    <n v="440000"/>
    <n v="0"/>
    <x v="0"/>
    <n v="1320000"/>
  </r>
  <r>
    <s v="ORD-1595"/>
    <x v="211"/>
    <x v="30"/>
    <x v="16"/>
    <x v="0"/>
    <s v="S"/>
    <n v="4"/>
    <n v="430000"/>
    <n v="15"/>
    <x v="3"/>
    <n v="1462000"/>
  </r>
  <r>
    <s v="ORD-1948"/>
    <x v="187"/>
    <x v="6"/>
    <x v="5"/>
    <x v="4"/>
    <s v="M"/>
    <n v="2"/>
    <n v="198000"/>
    <n v="0"/>
    <x v="0"/>
    <n v="396000"/>
  </r>
  <r>
    <s v="ORD-1132"/>
    <x v="108"/>
    <x v="11"/>
    <x v="9"/>
    <x v="4"/>
    <s v="M"/>
    <n v="1"/>
    <n v="195000"/>
    <n v="0"/>
    <x v="1"/>
    <n v="195000"/>
  </r>
  <r>
    <s v="ORD-1519"/>
    <x v="212"/>
    <x v="6"/>
    <x v="5"/>
    <x v="4"/>
    <s v="M"/>
    <n v="3"/>
    <n v="198000"/>
    <n v="0"/>
    <x v="2"/>
    <n v="594000"/>
  </r>
  <r>
    <s v="ORD-1513"/>
    <x v="194"/>
    <x v="7"/>
    <x v="6"/>
    <x v="5"/>
    <s v="M"/>
    <n v="3"/>
    <n v="320000"/>
    <n v="0"/>
    <x v="0"/>
    <n v="960000"/>
  </r>
  <r>
    <s v="ORD-1387"/>
    <x v="213"/>
    <x v="25"/>
    <x v="10"/>
    <x v="6"/>
    <s v="M"/>
    <n v="1"/>
    <n v="105000"/>
    <n v="0"/>
    <x v="1"/>
    <n v="105000"/>
  </r>
  <r>
    <s v="ORD-2169"/>
    <x v="92"/>
    <x v="26"/>
    <x v="18"/>
    <x v="7"/>
    <s v="M"/>
    <n v="1"/>
    <n v="335000"/>
    <n v="15"/>
    <x v="2"/>
    <n v="284750"/>
  </r>
  <r>
    <s v="ORD-1729"/>
    <x v="186"/>
    <x v="35"/>
    <x v="13"/>
    <x v="8"/>
    <s v="M"/>
    <n v="2"/>
    <n v="395000"/>
    <n v="15"/>
    <x v="1"/>
    <n v="671500"/>
  </r>
  <r>
    <s v="ORD-1491"/>
    <x v="115"/>
    <x v="13"/>
    <x v="11"/>
    <x v="1"/>
    <s v="S"/>
    <n v="1"/>
    <n v="260000"/>
    <n v="0"/>
    <x v="3"/>
    <n v="260000"/>
  </r>
  <r>
    <s v="ORD-1103"/>
    <x v="59"/>
    <x v="11"/>
    <x v="9"/>
    <x v="4"/>
    <s v="M"/>
    <n v="1"/>
    <n v="195000"/>
    <n v="0"/>
    <x v="1"/>
    <n v="195000"/>
  </r>
  <r>
    <s v="ORD-1594"/>
    <x v="10"/>
    <x v="5"/>
    <x v="4"/>
    <x v="3"/>
    <s v="Unknown"/>
    <n v="5"/>
    <n v="215000"/>
    <n v="5"/>
    <x v="0"/>
    <n v="1021250"/>
  </r>
  <r>
    <s v="ORD-2033"/>
    <x v="214"/>
    <x v="18"/>
    <x v="13"/>
    <x v="8"/>
    <s v="L"/>
    <n v="1"/>
    <n v="395000"/>
    <n v="5"/>
    <x v="4"/>
    <n v="375250"/>
  </r>
  <r>
    <s v="ORD-1263"/>
    <x v="29"/>
    <x v="34"/>
    <x v="23"/>
    <x v="7"/>
    <s v="M"/>
    <n v="1"/>
    <n v="305000"/>
    <n v="0"/>
    <x v="2"/>
    <n v="305000"/>
  </r>
  <r>
    <s v="ORD-1493"/>
    <x v="209"/>
    <x v="23"/>
    <x v="16"/>
    <x v="0"/>
    <s v="M"/>
    <n v="1"/>
    <n v="430000"/>
    <n v="0"/>
    <x v="0"/>
    <n v="430000"/>
  </r>
  <r>
    <s v="ORD-1319"/>
    <x v="121"/>
    <x v="31"/>
    <x v="10"/>
    <x v="6"/>
    <s v="L"/>
    <n v="2"/>
    <n v="105000"/>
    <n v="0"/>
    <x v="1"/>
    <n v="210000"/>
  </r>
  <r>
    <s v="ORD-1487"/>
    <x v="43"/>
    <x v="21"/>
    <x v="8"/>
    <x v="3"/>
    <s v="L"/>
    <n v="1"/>
    <n v="220000"/>
    <n v="0"/>
    <x v="2"/>
    <n v="220000"/>
  </r>
  <r>
    <s v="ORD-1615"/>
    <x v="18"/>
    <x v="36"/>
    <x v="9"/>
    <x v="4"/>
    <s v="S"/>
    <n v="1"/>
    <n v="195000"/>
    <n v="0"/>
    <x v="1"/>
    <n v="195000"/>
  </r>
  <r>
    <s v="ORD-1596"/>
    <x v="90"/>
    <x v="17"/>
    <x v="4"/>
    <x v="3"/>
    <s v="M"/>
    <n v="2"/>
    <n v="215000"/>
    <n v="5"/>
    <x v="1"/>
    <n v="408500"/>
  </r>
  <r>
    <s v="ORD-2120"/>
    <x v="215"/>
    <x v="17"/>
    <x v="4"/>
    <x v="3"/>
    <s v="M"/>
    <n v="5"/>
    <n v="215000"/>
    <n v="0"/>
    <x v="0"/>
    <n v="1075000"/>
  </r>
  <r>
    <s v="ORD-1774"/>
    <x v="216"/>
    <x v="14"/>
    <x v="12"/>
    <x v="7"/>
    <s v="S"/>
    <n v="1"/>
    <n v="295000"/>
    <n v="0"/>
    <x v="0"/>
    <n v="295000"/>
  </r>
  <r>
    <s v="ORD-1410"/>
    <x v="17"/>
    <x v="7"/>
    <x v="6"/>
    <x v="5"/>
    <s v="M"/>
    <n v="3"/>
    <n v="320000"/>
    <n v="0"/>
    <x v="0"/>
    <n v="960000"/>
  </r>
  <r>
    <s v="ORD-1304"/>
    <x v="217"/>
    <x v="38"/>
    <x v="15"/>
    <x v="9"/>
    <s v="S"/>
    <n v="1"/>
    <n v="170000"/>
    <n v="0"/>
    <x v="1"/>
    <n v="170000"/>
  </r>
  <r>
    <s v="ORD-1855"/>
    <x v="218"/>
    <x v="33"/>
    <x v="22"/>
    <x v="7"/>
    <s v="Unknown"/>
    <n v="1"/>
    <n v="330000"/>
    <n v="0"/>
    <x v="0"/>
    <n v="330000"/>
  </r>
  <r>
    <s v="ORD-1759"/>
    <x v="135"/>
    <x v="23"/>
    <x v="16"/>
    <x v="0"/>
    <s v="M"/>
    <n v="1"/>
    <n v="430000"/>
    <n v="0"/>
    <x v="0"/>
    <n v="430000"/>
  </r>
  <r>
    <s v="ORD-1391"/>
    <x v="114"/>
    <x v="27"/>
    <x v="19"/>
    <x v="0"/>
    <s v="L"/>
    <n v="5"/>
    <n v="440000"/>
    <n v="0"/>
    <x v="3"/>
    <n v="2200000"/>
  </r>
  <r>
    <s v="ORD-1934"/>
    <x v="219"/>
    <x v="6"/>
    <x v="5"/>
    <x v="4"/>
    <s v="M"/>
    <n v="1"/>
    <n v="198000"/>
    <n v="0"/>
    <x v="1"/>
    <n v="198000"/>
  </r>
  <r>
    <s v="ORD-1882"/>
    <x v="220"/>
    <x v="33"/>
    <x v="22"/>
    <x v="7"/>
    <s v="Unknown"/>
    <n v="2"/>
    <n v="330000"/>
    <n v="0"/>
    <x v="0"/>
    <n v="660000"/>
  </r>
  <r>
    <s v="ORD-1284"/>
    <x v="15"/>
    <x v="15"/>
    <x v="6"/>
    <x v="5"/>
    <s v="Unknown"/>
    <n v="3"/>
    <n v="320000"/>
    <n v="10"/>
    <x v="0"/>
    <n v="864000"/>
  </r>
  <r>
    <s v="ORD-1416"/>
    <x v="183"/>
    <x v="26"/>
    <x v="18"/>
    <x v="7"/>
    <s v="M"/>
    <n v="1"/>
    <n v="335000"/>
    <n v="0"/>
    <x v="0"/>
    <n v="335000"/>
  </r>
  <r>
    <s v="ORD-1956"/>
    <x v="221"/>
    <x v="30"/>
    <x v="16"/>
    <x v="0"/>
    <s v="S"/>
    <n v="2"/>
    <n v="430000"/>
    <n v="0"/>
    <x v="3"/>
    <n v="860000"/>
  </r>
  <r>
    <s v="ORD-1618"/>
    <x v="98"/>
    <x v="38"/>
    <x v="15"/>
    <x v="9"/>
    <s v="S"/>
    <n v="1"/>
    <n v="170000"/>
    <n v="0"/>
    <x v="1"/>
    <n v="170000"/>
  </r>
  <r>
    <s v="ORD-1866"/>
    <x v="182"/>
    <x v="4"/>
    <x v="3"/>
    <x v="3"/>
    <s v="M"/>
    <n v="2"/>
    <n v="210000"/>
    <n v="5"/>
    <x v="1"/>
    <n v="399000"/>
  </r>
  <r>
    <s v="ORD-1290"/>
    <x v="18"/>
    <x v="15"/>
    <x v="6"/>
    <x v="5"/>
    <s v="L"/>
    <n v="2"/>
    <n v="320000"/>
    <n v="0"/>
    <x v="4"/>
    <n v="640000"/>
  </r>
  <r>
    <s v="ORD-1072"/>
    <x v="44"/>
    <x v="18"/>
    <x v="13"/>
    <x v="8"/>
    <s v="L"/>
    <n v="4"/>
    <n v="395000"/>
    <n v="0"/>
    <x v="0"/>
    <n v="1580000"/>
  </r>
  <r>
    <s v="ORD-1330"/>
    <x v="161"/>
    <x v="30"/>
    <x v="16"/>
    <x v="0"/>
    <s v="S"/>
    <n v="3"/>
    <n v="430000"/>
    <n v="0"/>
    <x v="1"/>
    <n v="1290000"/>
  </r>
  <r>
    <s v="ORD-1968"/>
    <x v="59"/>
    <x v="35"/>
    <x v="13"/>
    <x v="8"/>
    <s v="M"/>
    <n v="1"/>
    <n v="395000"/>
    <n v="0"/>
    <x v="1"/>
    <n v="395000"/>
  </r>
  <r>
    <s v="ORD-1832"/>
    <x v="35"/>
    <x v="26"/>
    <x v="18"/>
    <x v="7"/>
    <s v="M"/>
    <n v="3"/>
    <n v="335000"/>
    <n v="10"/>
    <x v="1"/>
    <n v="904500"/>
  </r>
  <r>
    <s v="ORD-1456"/>
    <x v="34"/>
    <x v="17"/>
    <x v="4"/>
    <x v="3"/>
    <s v="M"/>
    <n v="3"/>
    <n v="215000"/>
    <n v="5"/>
    <x v="1"/>
    <n v="612750"/>
  </r>
  <r>
    <s v="ORD-1495"/>
    <x v="222"/>
    <x v="34"/>
    <x v="23"/>
    <x v="7"/>
    <s v="M"/>
    <n v="1"/>
    <n v="305000"/>
    <n v="5"/>
    <x v="0"/>
    <n v="289750"/>
  </r>
  <r>
    <s v="ORD-1364"/>
    <x v="201"/>
    <x v="25"/>
    <x v="10"/>
    <x v="6"/>
    <s v="M"/>
    <n v="2"/>
    <n v="105000"/>
    <n v="10"/>
    <x v="1"/>
    <n v="189000"/>
  </r>
  <r>
    <s v="ORD-1977"/>
    <x v="137"/>
    <x v="22"/>
    <x v="15"/>
    <x v="9"/>
    <s v="M"/>
    <n v="-2"/>
    <n v="170000"/>
    <n v="0"/>
    <x v="1"/>
    <n v="-340000"/>
  </r>
  <r>
    <s v="ORD-1159"/>
    <x v="101"/>
    <x v="1"/>
    <x v="0"/>
    <x v="0"/>
    <s v="L"/>
    <n v="1"/>
    <n v="420000"/>
    <n v="0"/>
    <x v="3"/>
    <n v="420000"/>
  </r>
  <r>
    <s v="ORD-1609"/>
    <x v="223"/>
    <x v="33"/>
    <x v="22"/>
    <x v="7"/>
    <s v="M"/>
    <n v="1"/>
    <n v="330000"/>
    <n v="0"/>
    <x v="3"/>
    <n v="330000"/>
  </r>
  <r>
    <s v="ORD-2136"/>
    <x v="48"/>
    <x v="31"/>
    <x v="10"/>
    <x v="6"/>
    <s v="L"/>
    <n v="2"/>
    <n v="105000"/>
    <n v="10"/>
    <x v="0"/>
    <n v="189000"/>
  </r>
  <r>
    <s v="ORD-1786"/>
    <x v="224"/>
    <x v="11"/>
    <x v="9"/>
    <x v="4"/>
    <s v="M"/>
    <n v="2"/>
    <n v="195000"/>
    <n v="0"/>
    <x v="2"/>
    <n v="390000"/>
  </r>
  <r>
    <s v="ORD-2084"/>
    <x v="10"/>
    <x v="5"/>
    <x v="4"/>
    <x v="3"/>
    <s v="L"/>
    <n v="3"/>
    <n v="215000"/>
    <n v="0"/>
    <x v="2"/>
    <n v="645000"/>
  </r>
  <r>
    <s v="ORD-1334"/>
    <x v="225"/>
    <x v="14"/>
    <x v="12"/>
    <x v="7"/>
    <s v="S"/>
    <n v="2"/>
    <n v="295000"/>
    <n v="10"/>
    <x v="1"/>
    <n v="531000"/>
  </r>
  <r>
    <s v="ORD-2023"/>
    <x v="226"/>
    <x v="25"/>
    <x v="10"/>
    <x v="6"/>
    <s v="M"/>
    <n v="1"/>
    <n v="105000"/>
    <n v="15"/>
    <x v="0"/>
    <n v="89250"/>
  </r>
  <r>
    <s v="ORD-1131"/>
    <x v="227"/>
    <x v="13"/>
    <x v="11"/>
    <x v="1"/>
    <s v="S"/>
    <n v="1"/>
    <n v="260000"/>
    <n v="0"/>
    <x v="1"/>
    <n v="260000"/>
  </r>
  <r>
    <s v="ORD-1247"/>
    <x v="228"/>
    <x v="4"/>
    <x v="3"/>
    <x v="3"/>
    <s v="M"/>
    <n v="1"/>
    <n v="210000"/>
    <n v="5"/>
    <x v="0"/>
    <n v="199500"/>
  </r>
  <r>
    <s v="ORD-1489"/>
    <x v="214"/>
    <x v="35"/>
    <x v="13"/>
    <x v="8"/>
    <s v="M"/>
    <n v="1"/>
    <n v="395000"/>
    <n v="0"/>
    <x v="1"/>
    <n v="395000"/>
  </r>
  <r>
    <s v="ORD-1007"/>
    <x v="229"/>
    <x v="16"/>
    <x v="12"/>
    <x v="7"/>
    <s v="M"/>
    <n v="1"/>
    <n v="295000"/>
    <n v="20"/>
    <x v="2"/>
    <n v="236000"/>
  </r>
  <r>
    <s v="ORD-1348"/>
    <x v="230"/>
    <x v="19"/>
    <x v="0"/>
    <x v="0"/>
    <s v="S"/>
    <n v="1"/>
    <n v="420000"/>
    <n v="10"/>
    <x v="3"/>
    <n v="378000"/>
  </r>
  <r>
    <s v="ORD-2071"/>
    <x v="145"/>
    <x v="13"/>
    <x v="11"/>
    <x v="1"/>
    <s v="S"/>
    <n v="4"/>
    <n v="260000"/>
    <n v="0"/>
    <x v="3"/>
    <n v="1040000"/>
  </r>
  <r>
    <s v="ORD-1942"/>
    <x v="40"/>
    <x v="18"/>
    <x v="13"/>
    <x v="8"/>
    <s v="L"/>
    <n v="1"/>
    <n v="395000"/>
    <n v="5"/>
    <x v="0"/>
    <n v="375250"/>
  </r>
  <r>
    <s v="ORD-1220"/>
    <x v="29"/>
    <x v="30"/>
    <x v="16"/>
    <x v="0"/>
    <s v="S"/>
    <n v="5"/>
    <n v="430000"/>
    <n v="10"/>
    <x v="3"/>
    <n v="1935000"/>
  </r>
  <r>
    <s v="ORD-1625"/>
    <x v="59"/>
    <x v="38"/>
    <x v="15"/>
    <x v="9"/>
    <s v="Unknown"/>
    <n v="1"/>
    <n v="170000"/>
    <n v="0"/>
    <x v="1"/>
    <n v="170000"/>
  </r>
  <r>
    <s v="ORD-1893"/>
    <x v="231"/>
    <x v="38"/>
    <x v="15"/>
    <x v="9"/>
    <s v="S"/>
    <n v="3"/>
    <n v="170000"/>
    <n v="10"/>
    <x v="4"/>
    <n v="459000"/>
  </r>
  <r>
    <s v="ORD-1236"/>
    <x v="232"/>
    <x v="21"/>
    <x v="8"/>
    <x v="3"/>
    <s v="L"/>
    <n v="1"/>
    <n v="220000"/>
    <n v="10"/>
    <x v="1"/>
    <n v="198000"/>
  </r>
  <r>
    <s v="ORD-1741"/>
    <x v="233"/>
    <x v="12"/>
    <x v="10"/>
    <x v="6"/>
    <s v="S"/>
    <n v="1"/>
    <n v="105000"/>
    <n v="5"/>
    <x v="1"/>
    <n v="99750"/>
  </r>
  <r>
    <s v="ORD-1434"/>
    <x v="223"/>
    <x v="33"/>
    <x v="22"/>
    <x v="7"/>
    <s v="M"/>
    <n v="2"/>
    <n v="330000"/>
    <n v="10"/>
    <x v="0"/>
    <n v="594000"/>
  </r>
  <r>
    <s v="ORD-1914"/>
    <x v="234"/>
    <x v="19"/>
    <x v="0"/>
    <x v="0"/>
    <s v="S"/>
    <n v="1"/>
    <n v="420000"/>
    <n v="10"/>
    <x v="0"/>
    <n v="378000"/>
  </r>
  <r>
    <s v="ORD-1574"/>
    <x v="158"/>
    <x v="22"/>
    <x v="15"/>
    <x v="9"/>
    <s v="M"/>
    <n v="1"/>
    <n v="170000"/>
    <n v="0"/>
    <x v="1"/>
    <n v="170000"/>
  </r>
  <r>
    <s v="ORD-1291"/>
    <x v="63"/>
    <x v="1"/>
    <x v="0"/>
    <x v="0"/>
    <s v="L"/>
    <n v="1"/>
    <n v="420000"/>
    <n v="0"/>
    <x v="1"/>
    <n v="420000"/>
  </r>
  <r>
    <s v="ORD-1420"/>
    <x v="206"/>
    <x v="28"/>
    <x v="20"/>
    <x v="10"/>
    <s v="M"/>
    <n v="2"/>
    <n v="228000"/>
    <n v="10"/>
    <x v="1"/>
    <n v="410400"/>
  </r>
  <r>
    <s v="ORD-2051"/>
    <x v="195"/>
    <x v="13"/>
    <x v="11"/>
    <x v="1"/>
    <s v="S"/>
    <n v="1"/>
    <n v="260000"/>
    <n v="0"/>
    <x v="1"/>
    <n v="260000"/>
  </r>
  <r>
    <s v="ORD-1225"/>
    <x v="15"/>
    <x v="7"/>
    <x v="6"/>
    <x v="5"/>
    <s v="M"/>
    <n v="1"/>
    <n v="320000"/>
    <n v="0"/>
    <x v="1"/>
    <n v="320000"/>
  </r>
  <r>
    <s v="ORD-1834"/>
    <x v="107"/>
    <x v="22"/>
    <x v="15"/>
    <x v="9"/>
    <s v="M"/>
    <n v="3"/>
    <n v="170000"/>
    <n v="0"/>
    <x v="3"/>
    <n v="510000"/>
  </r>
  <r>
    <s v="ORD-1482"/>
    <x v="235"/>
    <x v="25"/>
    <x v="10"/>
    <x v="6"/>
    <s v="Unknown"/>
    <n v="4"/>
    <n v="105000"/>
    <n v="0"/>
    <x v="1"/>
    <n v="420000"/>
  </r>
  <r>
    <s v="ORD-1116"/>
    <x v="38"/>
    <x v="37"/>
    <x v="8"/>
    <x v="3"/>
    <s v="M"/>
    <n v="2"/>
    <n v="220000"/>
    <n v="0"/>
    <x v="3"/>
    <n v="440000"/>
  </r>
  <r>
    <s v="ORD-1185"/>
    <x v="126"/>
    <x v="38"/>
    <x v="15"/>
    <x v="9"/>
    <s v="Unknown"/>
    <n v="3"/>
    <n v="170000"/>
    <n v="5"/>
    <x v="0"/>
    <n v="484500"/>
  </r>
  <r>
    <s v="ORD-1380"/>
    <x v="236"/>
    <x v="21"/>
    <x v="8"/>
    <x v="3"/>
    <s v="L"/>
    <n v="2"/>
    <n v="220000"/>
    <n v="0"/>
    <x v="1"/>
    <n v="440000"/>
  </r>
  <r>
    <s v="ORD-1889"/>
    <x v="130"/>
    <x v="10"/>
    <x v="8"/>
    <x v="3"/>
    <s v="S"/>
    <n v="5"/>
    <n v="220000"/>
    <n v="0"/>
    <x v="1"/>
    <n v="1100000"/>
  </r>
  <r>
    <s v="ORD-2094"/>
    <x v="77"/>
    <x v="14"/>
    <x v="12"/>
    <x v="7"/>
    <s v="S"/>
    <n v="3"/>
    <n v="295000"/>
    <n v="0"/>
    <x v="1"/>
    <n v="885000"/>
  </r>
  <r>
    <s v="ORD-1041"/>
    <x v="15"/>
    <x v="16"/>
    <x v="12"/>
    <x v="7"/>
    <s v="M"/>
    <n v="2"/>
    <n v="295000"/>
    <n v="0"/>
    <x v="1"/>
    <n v="590000"/>
  </r>
  <r>
    <s v="ORD-1218"/>
    <x v="237"/>
    <x v="15"/>
    <x v="6"/>
    <x v="5"/>
    <s v="L"/>
    <n v="2"/>
    <n v="320000"/>
    <n v="15"/>
    <x v="1"/>
    <n v="544000"/>
  </r>
  <r>
    <s v="ORD-1714"/>
    <x v="238"/>
    <x v="22"/>
    <x v="15"/>
    <x v="9"/>
    <s v="M"/>
    <n v="5"/>
    <n v="170000"/>
    <n v="0"/>
    <x v="1"/>
    <n v="850000"/>
  </r>
  <r>
    <s v="ORD-2076"/>
    <x v="239"/>
    <x v="12"/>
    <x v="10"/>
    <x v="6"/>
    <s v="S"/>
    <n v="1"/>
    <n v="105000"/>
    <n v="0"/>
    <x v="0"/>
    <n v="105000"/>
  </r>
  <r>
    <s v="ORD-1044"/>
    <x v="240"/>
    <x v="18"/>
    <x v="13"/>
    <x v="8"/>
    <s v="L"/>
    <n v="-2"/>
    <n v="395000"/>
    <n v="0"/>
    <x v="0"/>
    <n v="-790000"/>
  </r>
  <r>
    <s v="ORD-1916"/>
    <x v="10"/>
    <x v="11"/>
    <x v="9"/>
    <x v="4"/>
    <s v="M"/>
    <n v="1"/>
    <n v="195000"/>
    <n v="0"/>
    <x v="1"/>
    <n v="195000"/>
  </r>
  <r>
    <s v="ORD-2038"/>
    <x v="71"/>
    <x v="6"/>
    <x v="5"/>
    <x v="4"/>
    <s v="Unknown"/>
    <n v="1"/>
    <n v="198000"/>
    <n v="0"/>
    <x v="4"/>
    <n v="198000"/>
  </r>
  <r>
    <s v="ORD-1055"/>
    <x v="82"/>
    <x v="11"/>
    <x v="9"/>
    <x v="4"/>
    <s v="Unknown"/>
    <n v="3"/>
    <n v="195000"/>
    <n v="0"/>
    <x v="0"/>
    <n v="585000"/>
  </r>
  <r>
    <s v="ORD-1682"/>
    <x v="188"/>
    <x v="27"/>
    <x v="19"/>
    <x v="0"/>
    <s v="L"/>
    <n v="3"/>
    <n v="440000"/>
    <n v="0"/>
    <x v="1"/>
    <n v="1320000"/>
  </r>
  <r>
    <s v="ORD-1237"/>
    <x v="241"/>
    <x v="4"/>
    <x v="3"/>
    <x v="3"/>
    <s v="M"/>
    <n v="3"/>
    <n v="210000"/>
    <n v="0"/>
    <x v="2"/>
    <n v="630000"/>
  </r>
  <r>
    <s v="ORD-1793"/>
    <x v="242"/>
    <x v="36"/>
    <x v="9"/>
    <x v="4"/>
    <s v="S"/>
    <n v="1"/>
    <n v="195000"/>
    <n v="0"/>
    <x v="3"/>
    <n v="195000"/>
  </r>
  <r>
    <s v="ORD-1608"/>
    <x v="163"/>
    <x v="5"/>
    <x v="4"/>
    <x v="3"/>
    <s v="L"/>
    <n v="1"/>
    <n v="215000"/>
    <n v="0"/>
    <x v="0"/>
    <n v="215000"/>
  </r>
  <r>
    <s v="ORD-2187"/>
    <x v="171"/>
    <x v="5"/>
    <x v="4"/>
    <x v="3"/>
    <s v="L"/>
    <n v="5"/>
    <n v="215000"/>
    <n v="5"/>
    <x v="2"/>
    <n v="1021250"/>
  </r>
  <r>
    <s v="ORD-1190"/>
    <x v="174"/>
    <x v="5"/>
    <x v="4"/>
    <x v="3"/>
    <s v="L"/>
    <n v="2"/>
    <n v="215000"/>
    <n v="0"/>
    <x v="0"/>
    <n v="430000"/>
  </r>
  <r>
    <s v="ORD-1294"/>
    <x v="175"/>
    <x v="3"/>
    <x v="2"/>
    <x v="2"/>
    <s v="M"/>
    <n v="3"/>
    <n v="182000"/>
    <n v="0"/>
    <x v="1"/>
    <n v="546000"/>
  </r>
  <r>
    <s v="ORD-2117"/>
    <x v="243"/>
    <x v="26"/>
    <x v="18"/>
    <x v="7"/>
    <s v="M"/>
    <n v="1"/>
    <n v="335000"/>
    <n v="15"/>
    <x v="4"/>
    <n v="284750"/>
  </r>
  <r>
    <s v="ORD-1473"/>
    <x v="209"/>
    <x v="27"/>
    <x v="19"/>
    <x v="0"/>
    <s v="L"/>
    <n v="-1"/>
    <n v="440000"/>
    <n v="10"/>
    <x v="1"/>
    <n v="-396000"/>
  </r>
  <r>
    <s v="ORD-1850"/>
    <x v="88"/>
    <x v="22"/>
    <x v="15"/>
    <x v="9"/>
    <s v="M"/>
    <n v="-1"/>
    <n v="170000"/>
    <n v="5"/>
    <x v="0"/>
    <n v="-161500"/>
  </r>
  <r>
    <s v="ORD-1796"/>
    <x v="95"/>
    <x v="35"/>
    <x v="13"/>
    <x v="8"/>
    <s v="M"/>
    <n v="1"/>
    <n v="395000"/>
    <n v="0"/>
    <x v="3"/>
    <n v="395000"/>
  </r>
  <r>
    <s v="ORD-1357"/>
    <x v="46"/>
    <x v="1"/>
    <x v="0"/>
    <x v="0"/>
    <s v="L"/>
    <n v="1"/>
    <n v="420000"/>
    <n v="0"/>
    <x v="2"/>
    <n v="420000"/>
  </r>
  <r>
    <s v="ORD-1837"/>
    <x v="169"/>
    <x v="7"/>
    <x v="6"/>
    <x v="5"/>
    <s v="M"/>
    <n v="1"/>
    <n v="320000"/>
    <n v="0"/>
    <x v="1"/>
    <n v="320000"/>
  </r>
  <r>
    <s v="ORD-1556"/>
    <x v="54"/>
    <x v="32"/>
    <x v="11"/>
    <x v="1"/>
    <s v="M"/>
    <n v="1"/>
    <n v="260000"/>
    <n v="0"/>
    <x v="1"/>
    <n v="260000"/>
  </r>
  <r>
    <s v="ORD-1859"/>
    <x v="153"/>
    <x v="16"/>
    <x v="12"/>
    <x v="7"/>
    <s v="M"/>
    <n v="-2"/>
    <n v="295000"/>
    <n v="0"/>
    <x v="1"/>
    <n v="-590000"/>
  </r>
  <r>
    <s v="ORD-2145"/>
    <x v="244"/>
    <x v="19"/>
    <x v="0"/>
    <x v="0"/>
    <s v="S"/>
    <n v="1"/>
    <n v="420000"/>
    <n v="0"/>
    <x v="3"/>
    <n v="420000"/>
  </r>
  <r>
    <s v="ORD-1915"/>
    <x v="245"/>
    <x v="32"/>
    <x v="11"/>
    <x v="1"/>
    <s v="M"/>
    <n v="1"/>
    <n v="260000"/>
    <n v="10"/>
    <x v="0"/>
    <n v="234000"/>
  </r>
  <r>
    <s v="ORD-1912"/>
    <x v="158"/>
    <x v="31"/>
    <x v="10"/>
    <x v="6"/>
    <s v="L"/>
    <n v="1"/>
    <n v="105000"/>
    <n v="0"/>
    <x v="3"/>
    <n v="105000"/>
  </r>
  <r>
    <s v="ORD-2047"/>
    <x v="45"/>
    <x v="27"/>
    <x v="19"/>
    <x v="0"/>
    <s v="L"/>
    <n v="2"/>
    <n v="440000"/>
    <n v="0"/>
    <x v="1"/>
    <n v="880000"/>
  </r>
  <r>
    <s v="ORD-1954"/>
    <x v="137"/>
    <x v="19"/>
    <x v="0"/>
    <x v="0"/>
    <s v="S"/>
    <n v="1"/>
    <n v="420000"/>
    <n v="0"/>
    <x v="3"/>
    <n v="420000"/>
  </r>
  <r>
    <s v="ORD-1584"/>
    <x v="246"/>
    <x v="14"/>
    <x v="12"/>
    <x v="7"/>
    <s v="S"/>
    <n v="1"/>
    <n v="295000"/>
    <n v="0"/>
    <x v="3"/>
    <n v="295000"/>
  </r>
  <r>
    <s v="ORD-1723"/>
    <x v="247"/>
    <x v="6"/>
    <x v="5"/>
    <x v="4"/>
    <s v="M"/>
    <n v="1"/>
    <n v="198000"/>
    <n v="0"/>
    <x v="4"/>
    <n v="198000"/>
  </r>
  <r>
    <s v="ORD-1277"/>
    <x v="121"/>
    <x v="14"/>
    <x v="12"/>
    <x v="7"/>
    <s v="S"/>
    <n v="1"/>
    <n v="295000"/>
    <n v="0"/>
    <x v="0"/>
    <n v="295000"/>
  </r>
  <r>
    <s v="ORD-1822"/>
    <x v="226"/>
    <x v="14"/>
    <x v="12"/>
    <x v="7"/>
    <s v="S"/>
    <n v="1"/>
    <n v="295000"/>
    <n v="0"/>
    <x v="1"/>
    <n v="295000"/>
  </r>
  <r>
    <s v="ORD-1794"/>
    <x v="218"/>
    <x v="39"/>
    <x v="19"/>
    <x v="0"/>
    <s v="M"/>
    <n v="2"/>
    <n v="440000"/>
    <n v="10"/>
    <x v="0"/>
    <n v="792000"/>
  </r>
  <r>
    <s v="ORD-1214"/>
    <x v="31"/>
    <x v="10"/>
    <x v="8"/>
    <x v="3"/>
    <s v="S"/>
    <n v="1"/>
    <n v="220000"/>
    <n v="10"/>
    <x v="1"/>
    <n v="198000"/>
  </r>
  <r>
    <s v="ORD-1506"/>
    <x v="60"/>
    <x v="33"/>
    <x v="22"/>
    <x v="7"/>
    <s v="M"/>
    <n v="3"/>
    <n v="330000"/>
    <n v="20"/>
    <x v="1"/>
    <n v="792000"/>
  </r>
  <r>
    <s v="ORD-1530"/>
    <x v="107"/>
    <x v="5"/>
    <x v="4"/>
    <x v="3"/>
    <s v="L"/>
    <n v="2"/>
    <n v="215000"/>
    <n v="0"/>
    <x v="0"/>
    <n v="430000"/>
  </r>
  <r>
    <s v="ORD-1123"/>
    <x v="248"/>
    <x v="11"/>
    <x v="9"/>
    <x v="4"/>
    <s v="M"/>
    <n v="3"/>
    <n v="195000"/>
    <n v="0"/>
    <x v="1"/>
    <n v="585000"/>
  </r>
  <r>
    <s v="ORD-1779"/>
    <x v="183"/>
    <x v="14"/>
    <x v="12"/>
    <x v="7"/>
    <s v="S"/>
    <n v="3"/>
    <n v="295000"/>
    <n v="0"/>
    <x v="0"/>
    <n v="885000"/>
  </r>
  <r>
    <s v="ORD-1588"/>
    <x v="247"/>
    <x v="14"/>
    <x v="12"/>
    <x v="7"/>
    <s v="S"/>
    <n v="2"/>
    <n v="295000"/>
    <n v="0"/>
    <x v="4"/>
    <n v="590000"/>
  </r>
  <r>
    <s v="ORD-1134"/>
    <x v="90"/>
    <x v="29"/>
    <x v="21"/>
    <x v="1"/>
    <s v="M"/>
    <n v="1"/>
    <n v="280000"/>
    <n v="0"/>
    <x v="1"/>
    <n v="280000"/>
  </r>
  <r>
    <s v="ORD-1352"/>
    <x v="77"/>
    <x v="4"/>
    <x v="3"/>
    <x v="3"/>
    <s v="M"/>
    <n v="2"/>
    <n v="210000"/>
    <n v="0"/>
    <x v="0"/>
    <n v="420000"/>
  </r>
  <r>
    <s v="ORD-1082"/>
    <x v="136"/>
    <x v="2"/>
    <x v="1"/>
    <x v="1"/>
    <s v="M"/>
    <n v="1"/>
    <n v="265000"/>
    <n v="10"/>
    <x v="1"/>
    <n v="238500"/>
  </r>
  <r>
    <s v="ORD-1264"/>
    <x v="30"/>
    <x v="15"/>
    <x v="6"/>
    <x v="5"/>
    <s v="L"/>
    <n v="1"/>
    <n v="320000"/>
    <n v="0"/>
    <x v="2"/>
    <n v="320000"/>
  </r>
  <r>
    <s v="ORD-1691"/>
    <x v="37"/>
    <x v="36"/>
    <x v="9"/>
    <x v="4"/>
    <s v="S"/>
    <n v="2"/>
    <n v="195000"/>
    <n v="5"/>
    <x v="1"/>
    <n v="370500"/>
  </r>
  <r>
    <s v="ORD-1791"/>
    <x v="160"/>
    <x v="19"/>
    <x v="0"/>
    <x v="0"/>
    <s v="S"/>
    <n v="1"/>
    <n v="420000"/>
    <n v="5"/>
    <x v="0"/>
    <n v="399000"/>
  </r>
  <r>
    <s v="ORD-1333"/>
    <x v="249"/>
    <x v="34"/>
    <x v="23"/>
    <x v="7"/>
    <s v="M"/>
    <n v="1"/>
    <n v="305000"/>
    <n v="5"/>
    <x v="1"/>
    <n v="289750"/>
  </r>
  <r>
    <s v="ORD-1266"/>
    <x v="39"/>
    <x v="11"/>
    <x v="9"/>
    <x v="4"/>
    <s v="M"/>
    <n v="2"/>
    <n v="195000"/>
    <n v="20"/>
    <x v="3"/>
    <n v="312000"/>
  </r>
  <r>
    <s v="ORD-1955"/>
    <x v="239"/>
    <x v="30"/>
    <x v="16"/>
    <x v="0"/>
    <s v="S"/>
    <n v="1"/>
    <n v="430000"/>
    <n v="0"/>
    <x v="2"/>
    <n v="430000"/>
  </r>
  <r>
    <s v="ORD-2085"/>
    <x v="250"/>
    <x v="9"/>
    <x v="7"/>
    <x v="3"/>
    <s v="M"/>
    <n v="2"/>
    <n v="235000"/>
    <n v="0"/>
    <x v="3"/>
    <n v="470000"/>
  </r>
  <r>
    <s v="ORD-2133"/>
    <x v="251"/>
    <x v="31"/>
    <x v="10"/>
    <x v="6"/>
    <s v="L"/>
    <n v="1"/>
    <n v="105000"/>
    <n v="0"/>
    <x v="2"/>
    <n v="105000"/>
  </r>
  <r>
    <s v="ORD-1525"/>
    <x v="48"/>
    <x v="21"/>
    <x v="8"/>
    <x v="3"/>
    <s v="L"/>
    <n v="1"/>
    <n v="220000"/>
    <n v="0"/>
    <x v="2"/>
    <n v="220000"/>
  </r>
  <r>
    <s v="ORD-1983"/>
    <x v="223"/>
    <x v="20"/>
    <x v="14"/>
    <x v="0"/>
    <s v="M"/>
    <n v="2"/>
    <n v="425000"/>
    <n v="15"/>
    <x v="1"/>
    <n v="722500"/>
  </r>
  <r>
    <s v="ORD-1403"/>
    <x v="218"/>
    <x v="12"/>
    <x v="10"/>
    <x v="6"/>
    <s v="Unknown"/>
    <n v="2"/>
    <n v="105000"/>
    <n v="0"/>
    <x v="0"/>
    <n v="210000"/>
  </r>
  <r>
    <s v="ORD-1453"/>
    <x v="246"/>
    <x v="34"/>
    <x v="23"/>
    <x v="7"/>
    <s v="M"/>
    <n v="4"/>
    <n v="305000"/>
    <n v="20"/>
    <x v="1"/>
    <n v="976000"/>
  </r>
  <r>
    <s v="ORD-1573"/>
    <x v="13"/>
    <x v="1"/>
    <x v="0"/>
    <x v="0"/>
    <s v="L"/>
    <n v="3"/>
    <n v="420000"/>
    <n v="0"/>
    <x v="3"/>
    <n v="1260000"/>
  </r>
  <r>
    <s v="ORD-1454"/>
    <x v="217"/>
    <x v="34"/>
    <x v="23"/>
    <x v="7"/>
    <s v="M"/>
    <n v="3"/>
    <n v="305000"/>
    <n v="0"/>
    <x v="0"/>
    <n v="915000"/>
  </r>
  <r>
    <s v="ORD-1167"/>
    <x v="182"/>
    <x v="29"/>
    <x v="21"/>
    <x v="1"/>
    <s v="M"/>
    <n v="1"/>
    <n v="280000"/>
    <n v="15"/>
    <x v="1"/>
    <n v="238000"/>
  </r>
  <r>
    <s v="ORD-1895"/>
    <x v="252"/>
    <x v="28"/>
    <x v="20"/>
    <x v="10"/>
    <s v="M"/>
    <n v="2"/>
    <n v="228000"/>
    <n v="10"/>
    <x v="0"/>
    <n v="410400"/>
  </r>
  <r>
    <s v="ORD-1286"/>
    <x v="250"/>
    <x v="2"/>
    <x v="1"/>
    <x v="1"/>
    <s v="M"/>
    <n v="1"/>
    <n v="265000"/>
    <n v="0"/>
    <x v="0"/>
    <n v="265000"/>
  </r>
  <r>
    <s v="ORD-1622"/>
    <x v="253"/>
    <x v="30"/>
    <x v="16"/>
    <x v="0"/>
    <s v="Unknown"/>
    <n v="1"/>
    <n v="430000"/>
    <n v="5"/>
    <x v="1"/>
    <n v="408500"/>
  </r>
  <r>
    <s v="ORD-1083"/>
    <x v="254"/>
    <x v="36"/>
    <x v="9"/>
    <x v="4"/>
    <s v="S"/>
    <n v="2"/>
    <n v="195000"/>
    <n v="0"/>
    <x v="1"/>
    <n v="390000"/>
  </r>
  <r>
    <s v="ORD-2166"/>
    <x v="248"/>
    <x v="15"/>
    <x v="6"/>
    <x v="5"/>
    <s v="L"/>
    <n v="2"/>
    <n v="320000"/>
    <n v="0"/>
    <x v="2"/>
    <n v="640000"/>
  </r>
  <r>
    <s v="ORD-1090"/>
    <x v="255"/>
    <x v="24"/>
    <x v="17"/>
    <x v="3"/>
    <s v="M"/>
    <n v="2"/>
    <n v="210000"/>
    <n v="5"/>
    <x v="3"/>
    <n v="399000"/>
  </r>
  <r>
    <s v="ORD-2017"/>
    <x v="212"/>
    <x v="25"/>
    <x v="10"/>
    <x v="6"/>
    <s v="M"/>
    <n v="2"/>
    <n v="105000"/>
    <n v="0"/>
    <x v="1"/>
    <n v="210000"/>
  </r>
  <r>
    <s v="ORD-1442"/>
    <x v="256"/>
    <x v="27"/>
    <x v="19"/>
    <x v="0"/>
    <s v="L"/>
    <n v="5"/>
    <n v="440000"/>
    <n v="0"/>
    <x v="1"/>
    <n v="2200000"/>
  </r>
  <r>
    <s v="ORD-1433"/>
    <x v="31"/>
    <x v="18"/>
    <x v="13"/>
    <x v="8"/>
    <s v="L"/>
    <n v="1"/>
    <n v="395000"/>
    <n v="0"/>
    <x v="1"/>
    <n v="395000"/>
  </r>
  <r>
    <s v="ORD-1576"/>
    <x v="209"/>
    <x v="30"/>
    <x v="16"/>
    <x v="0"/>
    <s v="S"/>
    <n v="1"/>
    <n v="430000"/>
    <n v="0"/>
    <x v="4"/>
    <n v="430000"/>
  </r>
  <r>
    <s v="ORD-1069"/>
    <x v="10"/>
    <x v="36"/>
    <x v="9"/>
    <x v="4"/>
    <s v="S"/>
    <n v="4"/>
    <n v="195000"/>
    <n v="15"/>
    <x v="1"/>
    <n v="663000"/>
  </r>
  <r>
    <s v="ORD-1423"/>
    <x v="69"/>
    <x v="26"/>
    <x v="18"/>
    <x v="7"/>
    <s v="M"/>
    <n v="2"/>
    <n v="335000"/>
    <n v="0"/>
    <x v="1"/>
    <n v="670000"/>
  </r>
  <r>
    <s v="ORD-1108"/>
    <x v="192"/>
    <x v="23"/>
    <x v="16"/>
    <x v="0"/>
    <s v="M"/>
    <n v="1"/>
    <n v="430000"/>
    <n v="10"/>
    <x v="3"/>
    <n v="387000"/>
  </r>
  <r>
    <s v="ORD-1856"/>
    <x v="133"/>
    <x v="14"/>
    <x v="12"/>
    <x v="7"/>
    <s v="S"/>
    <n v="1"/>
    <n v="295000"/>
    <n v="0"/>
    <x v="2"/>
    <n v="295000"/>
  </r>
  <r>
    <s v="ORD-1744"/>
    <x v="188"/>
    <x v="4"/>
    <x v="3"/>
    <x v="3"/>
    <s v="M"/>
    <n v="1"/>
    <n v="210000"/>
    <n v="5"/>
    <x v="0"/>
    <n v="199500"/>
  </r>
  <r>
    <s v="ORD-1619"/>
    <x v="257"/>
    <x v="20"/>
    <x v="14"/>
    <x v="0"/>
    <s v="M"/>
    <n v="1"/>
    <n v="425000"/>
    <n v="15"/>
    <x v="0"/>
    <n v="361250"/>
  </r>
  <r>
    <s v="ORD-1281"/>
    <x v="75"/>
    <x v="15"/>
    <x v="6"/>
    <x v="5"/>
    <s v="L"/>
    <n v="3"/>
    <n v="320000"/>
    <n v="10"/>
    <x v="2"/>
    <n v="864000"/>
  </r>
  <r>
    <s v="ORD-1419"/>
    <x v="94"/>
    <x v="26"/>
    <x v="18"/>
    <x v="7"/>
    <s v="M"/>
    <n v="1"/>
    <n v="335000"/>
    <n v="10"/>
    <x v="2"/>
    <n v="301500"/>
  </r>
  <r>
    <s v="ORD-1350"/>
    <x v="96"/>
    <x v="39"/>
    <x v="19"/>
    <x v="0"/>
    <s v="M"/>
    <n v="1"/>
    <n v="440000"/>
    <n v="20"/>
    <x v="2"/>
    <n v="352000"/>
  </r>
  <r>
    <s v="ORD-1224"/>
    <x v="258"/>
    <x v="6"/>
    <x v="5"/>
    <x v="4"/>
    <s v="M"/>
    <n v="1"/>
    <n v="198000"/>
    <n v="0"/>
    <x v="4"/>
    <n v="198000"/>
  </r>
  <r>
    <s v="ORD-1943"/>
    <x v="15"/>
    <x v="20"/>
    <x v="14"/>
    <x v="0"/>
    <s v="M"/>
    <n v="2"/>
    <n v="425000"/>
    <n v="5"/>
    <x v="1"/>
    <n v="807500"/>
  </r>
  <r>
    <s v="ORD-1740"/>
    <x v="237"/>
    <x v="16"/>
    <x v="12"/>
    <x v="7"/>
    <s v="M"/>
    <n v="1"/>
    <n v="295000"/>
    <n v="0"/>
    <x v="2"/>
    <n v="295000"/>
  </r>
  <r>
    <s v="ORD-2113"/>
    <x v="122"/>
    <x v="0"/>
    <x v="0"/>
    <x v="0"/>
    <s v="M"/>
    <n v="1"/>
    <n v="420000"/>
    <n v="0"/>
    <x v="3"/>
    <n v="420000"/>
  </r>
  <r>
    <s v="ORD-2097"/>
    <x v="259"/>
    <x v="33"/>
    <x v="22"/>
    <x v="7"/>
    <s v="Unknown"/>
    <n v="1"/>
    <n v="330000"/>
    <n v="0"/>
    <x v="1"/>
    <n v="330000"/>
  </r>
  <r>
    <s v="ORD-1000"/>
    <x v="254"/>
    <x v="5"/>
    <x v="4"/>
    <x v="3"/>
    <s v="L"/>
    <n v="1"/>
    <n v="215000"/>
    <n v="0"/>
    <x v="1"/>
    <n v="215000"/>
  </r>
  <r>
    <s v="ORD-1508"/>
    <x v="192"/>
    <x v="19"/>
    <x v="0"/>
    <x v="0"/>
    <s v="S"/>
    <n v="1"/>
    <n v="420000"/>
    <n v="0"/>
    <x v="0"/>
    <n v="420000"/>
  </r>
  <r>
    <s v="ORD-2046"/>
    <x v="236"/>
    <x v="32"/>
    <x v="11"/>
    <x v="1"/>
    <s v="Unknown"/>
    <n v="4"/>
    <n v="260000"/>
    <n v="0"/>
    <x v="1"/>
    <n v="1040000"/>
  </r>
  <r>
    <s v="ORD-2009"/>
    <x v="245"/>
    <x v="37"/>
    <x v="8"/>
    <x v="3"/>
    <s v="M"/>
    <n v="1"/>
    <n v="220000"/>
    <n v="5"/>
    <x v="2"/>
    <n v="209000"/>
  </r>
  <r>
    <s v="ORD-1546"/>
    <x v="102"/>
    <x v="23"/>
    <x v="16"/>
    <x v="0"/>
    <s v="Unknown"/>
    <n v="5"/>
    <n v="430000"/>
    <n v="0"/>
    <x v="0"/>
    <n v="2150000"/>
  </r>
  <r>
    <s v="ORD-1742"/>
    <x v="227"/>
    <x v="4"/>
    <x v="3"/>
    <x v="3"/>
    <s v="M"/>
    <n v="2"/>
    <n v="210000"/>
    <n v="0"/>
    <x v="1"/>
    <n v="420000"/>
  </r>
  <r>
    <s v="ORD-1926"/>
    <x v="228"/>
    <x v="13"/>
    <x v="11"/>
    <x v="1"/>
    <s v="S"/>
    <n v="1"/>
    <n v="260000"/>
    <n v="0"/>
    <x v="2"/>
    <n v="260000"/>
  </r>
  <r>
    <s v="ORD-1879"/>
    <x v="40"/>
    <x v="26"/>
    <x v="18"/>
    <x v="7"/>
    <s v="M"/>
    <n v="4"/>
    <n v="335000"/>
    <n v="0"/>
    <x v="1"/>
    <n v="1340000"/>
  </r>
  <r>
    <s v="ORD-1445"/>
    <x v="77"/>
    <x v="37"/>
    <x v="8"/>
    <x v="3"/>
    <s v="M"/>
    <n v="4"/>
    <n v="220000"/>
    <n v="0"/>
    <x v="4"/>
    <n v="880000"/>
  </r>
  <r>
    <s v="ORD-2186"/>
    <x v="143"/>
    <x v="7"/>
    <x v="6"/>
    <x v="5"/>
    <s v="M"/>
    <n v="1"/>
    <n v="320000"/>
    <n v="5"/>
    <x v="3"/>
    <n v="304000"/>
  </r>
  <r>
    <s v="ORD-1891"/>
    <x v="260"/>
    <x v="29"/>
    <x v="21"/>
    <x v="1"/>
    <s v="M"/>
    <n v="1"/>
    <n v="280000"/>
    <n v="0"/>
    <x v="0"/>
    <n v="280000"/>
  </r>
  <r>
    <s v="ORD-1497"/>
    <x v="114"/>
    <x v="19"/>
    <x v="0"/>
    <x v="0"/>
    <s v="S"/>
    <n v="1"/>
    <n v="420000"/>
    <n v="0"/>
    <x v="3"/>
    <n v="420000"/>
  </r>
  <r>
    <s v="ORD-1989"/>
    <x v="167"/>
    <x v="4"/>
    <x v="3"/>
    <x v="3"/>
    <s v="M"/>
    <n v="3"/>
    <n v="210000"/>
    <n v="0"/>
    <x v="2"/>
    <n v="630000"/>
  </r>
  <r>
    <s v="ORD-1953"/>
    <x v="226"/>
    <x v="12"/>
    <x v="10"/>
    <x v="6"/>
    <s v="S"/>
    <n v="2"/>
    <n v="105000"/>
    <n v="15"/>
    <x v="2"/>
    <n v="178500"/>
  </r>
  <r>
    <s v="ORD-2164"/>
    <x v="261"/>
    <x v="4"/>
    <x v="3"/>
    <x v="3"/>
    <s v="Unknown"/>
    <n v="3"/>
    <n v="210000"/>
    <n v="0"/>
    <x v="1"/>
    <n v="630000"/>
  </r>
  <r>
    <s v="ORD-1960"/>
    <x v="262"/>
    <x v="22"/>
    <x v="15"/>
    <x v="9"/>
    <s v="M"/>
    <n v="1"/>
    <n v="170000"/>
    <n v="0"/>
    <x v="3"/>
    <n v="170000"/>
  </r>
  <r>
    <s v="ORD-1590"/>
    <x v="78"/>
    <x v="5"/>
    <x v="4"/>
    <x v="3"/>
    <s v="L"/>
    <n v="1"/>
    <n v="215000"/>
    <n v="0"/>
    <x v="3"/>
    <n v="215000"/>
  </r>
  <r>
    <s v="ORD-1831"/>
    <x v="243"/>
    <x v="9"/>
    <x v="7"/>
    <x v="3"/>
    <s v="M"/>
    <n v="2"/>
    <n v="235000"/>
    <n v="0"/>
    <x v="0"/>
    <n v="470000"/>
  </r>
  <r>
    <s v="ORD-1375"/>
    <x v="164"/>
    <x v="24"/>
    <x v="17"/>
    <x v="3"/>
    <s v="M"/>
    <n v="3"/>
    <n v="210000"/>
    <n v="15"/>
    <x v="3"/>
    <n v="535500"/>
  </r>
  <r>
    <s v="ORD-1270"/>
    <x v="237"/>
    <x v="27"/>
    <x v="19"/>
    <x v="0"/>
    <s v="L"/>
    <n v="2"/>
    <n v="440000"/>
    <n v="0"/>
    <x v="3"/>
    <n v="880000"/>
  </r>
  <r>
    <s v="ORD-1863"/>
    <x v="124"/>
    <x v="15"/>
    <x v="6"/>
    <x v="5"/>
    <s v="L"/>
    <n v="2"/>
    <n v="320000"/>
    <n v="0"/>
    <x v="1"/>
    <n v="640000"/>
  </r>
  <r>
    <s v="ORD-1777"/>
    <x v="100"/>
    <x v="27"/>
    <x v="19"/>
    <x v="0"/>
    <s v="Unknown"/>
    <n v="-2"/>
    <n v="440000"/>
    <n v="0"/>
    <x v="1"/>
    <n v="-880000"/>
  </r>
  <r>
    <s v="ORD-1905"/>
    <x v="263"/>
    <x v="31"/>
    <x v="10"/>
    <x v="6"/>
    <s v="L"/>
    <n v="2"/>
    <n v="105000"/>
    <n v="10"/>
    <x v="0"/>
    <n v="189000"/>
  </r>
  <r>
    <s v="ORD-2111"/>
    <x v="197"/>
    <x v="29"/>
    <x v="21"/>
    <x v="1"/>
    <s v="M"/>
    <n v="2"/>
    <n v="280000"/>
    <n v="0"/>
    <x v="4"/>
    <n v="560000"/>
  </r>
  <r>
    <s v="ORD-1342"/>
    <x v="264"/>
    <x v="22"/>
    <x v="15"/>
    <x v="9"/>
    <s v="Unknown"/>
    <n v="2"/>
    <n v="170000"/>
    <n v="0"/>
    <x v="0"/>
    <n v="340000"/>
  </r>
  <r>
    <s v="ORD-1488"/>
    <x v="34"/>
    <x v="9"/>
    <x v="7"/>
    <x v="3"/>
    <s v="M"/>
    <n v="1"/>
    <n v="235000"/>
    <n v="0"/>
    <x v="1"/>
    <n v="235000"/>
  </r>
  <r>
    <s v="ORD-1630"/>
    <x v="145"/>
    <x v="4"/>
    <x v="3"/>
    <x v="3"/>
    <s v="M"/>
    <n v="3"/>
    <n v="210000"/>
    <n v="0"/>
    <x v="3"/>
    <n v="630000"/>
  </r>
  <r>
    <s v="ORD-2159"/>
    <x v="143"/>
    <x v="18"/>
    <x v="13"/>
    <x v="8"/>
    <s v="L"/>
    <n v="4"/>
    <n v="395000"/>
    <n v="0"/>
    <x v="2"/>
    <n v="1580000"/>
  </r>
  <r>
    <s v="ORD-1181"/>
    <x v="159"/>
    <x v="5"/>
    <x v="4"/>
    <x v="3"/>
    <s v="L"/>
    <n v="3"/>
    <n v="215000"/>
    <n v="10"/>
    <x v="1"/>
    <n v="580500"/>
  </r>
  <r>
    <s v="ORD-1272"/>
    <x v="195"/>
    <x v="31"/>
    <x v="10"/>
    <x v="6"/>
    <s v="L"/>
    <n v="3"/>
    <n v="105000"/>
    <n v="0"/>
    <x v="0"/>
    <n v="315000"/>
  </r>
  <r>
    <s v="ORD-2173"/>
    <x v="32"/>
    <x v="34"/>
    <x v="23"/>
    <x v="7"/>
    <s v="Unknown"/>
    <n v="1"/>
    <n v="305000"/>
    <n v="0"/>
    <x v="4"/>
    <n v="305000"/>
  </r>
  <r>
    <s v="ORD-2079"/>
    <x v="265"/>
    <x v="20"/>
    <x v="14"/>
    <x v="0"/>
    <s v="M"/>
    <n v="5"/>
    <n v="425000"/>
    <n v="0"/>
    <x v="3"/>
    <n v="2125000"/>
  </r>
  <r>
    <s v="ORD-1412"/>
    <x v="157"/>
    <x v="34"/>
    <x v="23"/>
    <x v="7"/>
    <s v="M"/>
    <n v="-3"/>
    <n v="305000"/>
    <n v="0"/>
    <x v="0"/>
    <n v="-915000"/>
  </r>
  <r>
    <s v="ORD-2110"/>
    <x v="266"/>
    <x v="13"/>
    <x v="11"/>
    <x v="1"/>
    <s v="S"/>
    <n v="3"/>
    <n v="260000"/>
    <n v="0"/>
    <x v="1"/>
    <n v="780000"/>
  </r>
  <r>
    <s v="ORD-1287"/>
    <x v="244"/>
    <x v="35"/>
    <x v="13"/>
    <x v="8"/>
    <s v="M"/>
    <n v="1"/>
    <n v="395000"/>
    <n v="0"/>
    <x v="4"/>
    <n v="395000"/>
  </r>
  <r>
    <s v="ORD-1902"/>
    <x v="267"/>
    <x v="38"/>
    <x v="15"/>
    <x v="9"/>
    <s v="S"/>
    <n v="3"/>
    <n v="170000"/>
    <n v="0"/>
    <x v="1"/>
    <n v="510000"/>
  </r>
  <r>
    <s v="ORD-1652"/>
    <x v="30"/>
    <x v="24"/>
    <x v="17"/>
    <x v="3"/>
    <s v="M"/>
    <n v="1"/>
    <n v="210000"/>
    <n v="0"/>
    <x v="3"/>
    <n v="210000"/>
  </r>
  <r>
    <s v="ORD-2029"/>
    <x v="47"/>
    <x v="20"/>
    <x v="14"/>
    <x v="0"/>
    <s v="M"/>
    <n v="2"/>
    <n v="425000"/>
    <n v="0"/>
    <x v="1"/>
    <n v="850000"/>
  </r>
  <r>
    <s v="ORD-1673"/>
    <x v="207"/>
    <x v="33"/>
    <x v="22"/>
    <x v="7"/>
    <s v="M"/>
    <n v="1"/>
    <n v="330000"/>
    <n v="10"/>
    <x v="0"/>
    <n v="297000"/>
  </r>
  <r>
    <s v="ORD-2129"/>
    <x v="214"/>
    <x v="12"/>
    <x v="10"/>
    <x v="6"/>
    <s v="S"/>
    <n v="3"/>
    <n v="105000"/>
    <n v="10"/>
    <x v="3"/>
    <n v="283500"/>
  </r>
  <r>
    <s v="ORD-1394"/>
    <x v="266"/>
    <x v="3"/>
    <x v="2"/>
    <x v="2"/>
    <s v="M"/>
    <n v="1"/>
    <n v="182000"/>
    <n v="0"/>
    <x v="1"/>
    <n v="182000"/>
  </r>
  <r>
    <s v="ORD-1303"/>
    <x v="250"/>
    <x v="29"/>
    <x v="21"/>
    <x v="1"/>
    <s v="M"/>
    <n v="2"/>
    <n v="280000"/>
    <n v="0"/>
    <x v="0"/>
    <n v="560000"/>
  </r>
  <r>
    <s v="ORD-1499"/>
    <x v="89"/>
    <x v="26"/>
    <x v="18"/>
    <x v="7"/>
    <s v="M"/>
    <n v="1"/>
    <n v="335000"/>
    <n v="0"/>
    <x v="0"/>
    <n v="335000"/>
  </r>
  <r>
    <s v="ORD-1695"/>
    <x v="45"/>
    <x v="14"/>
    <x v="12"/>
    <x v="7"/>
    <s v="S"/>
    <n v="1"/>
    <n v="295000"/>
    <n v="0"/>
    <x v="0"/>
    <n v="295000"/>
  </r>
  <r>
    <s v="ORD-1844"/>
    <x v="35"/>
    <x v="21"/>
    <x v="8"/>
    <x v="3"/>
    <s v="L"/>
    <n v="-2"/>
    <n v="220000"/>
    <n v="0"/>
    <x v="0"/>
    <n v="-440000"/>
  </r>
  <r>
    <s v="ORD-1297"/>
    <x v="13"/>
    <x v="30"/>
    <x v="16"/>
    <x v="0"/>
    <s v="S"/>
    <n v="1"/>
    <n v="430000"/>
    <n v="0"/>
    <x v="1"/>
    <n v="430000"/>
  </r>
  <r>
    <s v="ORD-1830"/>
    <x v="268"/>
    <x v="7"/>
    <x v="6"/>
    <x v="5"/>
    <s v="M"/>
    <n v="2"/>
    <n v="320000"/>
    <n v="15"/>
    <x v="1"/>
    <n v="544000"/>
  </r>
  <r>
    <s v="ORD-1498"/>
    <x v="9"/>
    <x v="21"/>
    <x v="8"/>
    <x v="3"/>
    <s v="L"/>
    <n v="1"/>
    <n v="220000"/>
    <n v="5"/>
    <x v="3"/>
    <n v="209000"/>
  </r>
  <r>
    <s v="ORD-1471"/>
    <x v="269"/>
    <x v="33"/>
    <x v="22"/>
    <x v="7"/>
    <s v="M"/>
    <n v="2"/>
    <n v="330000"/>
    <n v="0"/>
    <x v="1"/>
    <n v="660000"/>
  </r>
  <r>
    <s v="ORD-1120"/>
    <x v="186"/>
    <x v="37"/>
    <x v="8"/>
    <x v="3"/>
    <s v="M"/>
    <n v="1"/>
    <n v="220000"/>
    <n v="0"/>
    <x v="0"/>
    <n v="220000"/>
  </r>
  <r>
    <s v="ORD-1321"/>
    <x v="270"/>
    <x v="25"/>
    <x v="10"/>
    <x v="6"/>
    <s v="M"/>
    <n v="1"/>
    <n v="105000"/>
    <n v="5"/>
    <x v="0"/>
    <n v="99750"/>
  </r>
  <r>
    <s v="ORD-1843"/>
    <x v="79"/>
    <x v="4"/>
    <x v="3"/>
    <x v="3"/>
    <s v="M"/>
    <n v="1"/>
    <n v="210000"/>
    <n v="0"/>
    <x v="1"/>
    <n v="210000"/>
  </r>
  <r>
    <s v="ORD-1343"/>
    <x v="234"/>
    <x v="21"/>
    <x v="8"/>
    <x v="3"/>
    <s v="L"/>
    <n v="3"/>
    <n v="220000"/>
    <n v="0"/>
    <x v="0"/>
    <n v="660000"/>
  </r>
  <r>
    <s v="ORD-2189"/>
    <x v="149"/>
    <x v="0"/>
    <x v="0"/>
    <x v="0"/>
    <s v="M"/>
    <n v="1"/>
    <n v="420000"/>
    <n v="0"/>
    <x v="3"/>
    <n v="420000"/>
  </r>
  <r>
    <s v="ORD-1906"/>
    <x v="37"/>
    <x v="6"/>
    <x v="5"/>
    <x v="4"/>
    <s v="M"/>
    <n v="1"/>
    <n v="198000"/>
    <n v="0"/>
    <x v="2"/>
    <n v="198000"/>
  </r>
  <r>
    <s v="ORD-1607"/>
    <x v="186"/>
    <x v="16"/>
    <x v="12"/>
    <x v="7"/>
    <s v="M"/>
    <n v="4"/>
    <n v="295000"/>
    <n v="0"/>
    <x v="0"/>
    <n v="1180000"/>
  </r>
  <r>
    <s v="ORD-1142"/>
    <x v="89"/>
    <x v="26"/>
    <x v="18"/>
    <x v="7"/>
    <s v="M"/>
    <n v="1"/>
    <n v="335000"/>
    <n v="0"/>
    <x v="0"/>
    <n v="335000"/>
  </r>
  <r>
    <s v="ORD-2108"/>
    <x v="29"/>
    <x v="28"/>
    <x v="20"/>
    <x v="10"/>
    <s v="M"/>
    <n v="2"/>
    <n v="228000"/>
    <n v="0"/>
    <x v="1"/>
    <n v="456000"/>
  </r>
  <r>
    <s v="ORD-1005"/>
    <x v="221"/>
    <x v="1"/>
    <x v="0"/>
    <x v="0"/>
    <s v="L"/>
    <n v="1"/>
    <n v="420000"/>
    <n v="0"/>
    <x v="2"/>
    <n v="420000"/>
  </r>
  <r>
    <s v="ORD-1020"/>
    <x v="162"/>
    <x v="17"/>
    <x v="4"/>
    <x v="3"/>
    <s v="M"/>
    <n v="1"/>
    <n v="215000"/>
    <n v="10"/>
    <x v="3"/>
    <n v="193500"/>
  </r>
  <r>
    <s v="ORD-1080"/>
    <x v="271"/>
    <x v="17"/>
    <x v="4"/>
    <x v="3"/>
    <s v="M"/>
    <n v="2"/>
    <n v="215000"/>
    <n v="0"/>
    <x v="0"/>
    <n v="430000"/>
  </r>
  <r>
    <s v="ORD-1309"/>
    <x v="35"/>
    <x v="15"/>
    <x v="6"/>
    <x v="5"/>
    <s v="L"/>
    <n v="2"/>
    <n v="320000"/>
    <n v="0"/>
    <x v="3"/>
    <n v="640000"/>
  </r>
  <r>
    <s v="ORD-1620"/>
    <x v="272"/>
    <x v="8"/>
    <x v="7"/>
    <x v="3"/>
    <s v="L"/>
    <n v="2"/>
    <n v="235000"/>
    <n v="0"/>
    <x v="0"/>
    <n v="470000"/>
  </r>
  <r>
    <s v="ORD-1389"/>
    <x v="267"/>
    <x v="18"/>
    <x v="13"/>
    <x v="8"/>
    <s v="L"/>
    <n v="1"/>
    <n v="395000"/>
    <n v="0"/>
    <x v="0"/>
    <n v="395000"/>
  </r>
  <r>
    <s v="ORD-1191"/>
    <x v="273"/>
    <x v="24"/>
    <x v="17"/>
    <x v="3"/>
    <s v="M"/>
    <n v="1"/>
    <n v="210000"/>
    <n v="0"/>
    <x v="0"/>
    <n v="210000"/>
  </r>
  <r>
    <s v="ORD-1572"/>
    <x v="176"/>
    <x v="27"/>
    <x v="19"/>
    <x v="0"/>
    <s v="L"/>
    <n v="1"/>
    <n v="440000"/>
    <n v="0"/>
    <x v="1"/>
    <n v="440000"/>
  </r>
  <r>
    <s v="ORD-1738"/>
    <x v="154"/>
    <x v="37"/>
    <x v="8"/>
    <x v="3"/>
    <s v="M"/>
    <n v="2"/>
    <n v="220000"/>
    <n v="15"/>
    <x v="2"/>
    <n v="374000"/>
  </r>
  <r>
    <s v="ORD-1597"/>
    <x v="274"/>
    <x v="33"/>
    <x v="22"/>
    <x v="7"/>
    <s v="M"/>
    <n v="2"/>
    <n v="330000"/>
    <n v="0"/>
    <x v="0"/>
    <n v="660000"/>
  </r>
  <r>
    <s v="ORD-1367"/>
    <x v="275"/>
    <x v="13"/>
    <x v="11"/>
    <x v="1"/>
    <s v="S"/>
    <n v="2"/>
    <n v="260000"/>
    <n v="20"/>
    <x v="2"/>
    <n v="416000"/>
  </r>
  <r>
    <s v="ORD-1441"/>
    <x v="116"/>
    <x v="35"/>
    <x v="13"/>
    <x v="8"/>
    <s v="M"/>
    <n v="1"/>
    <n v="395000"/>
    <n v="0"/>
    <x v="2"/>
    <n v="395000"/>
  </r>
  <r>
    <s v="ORD-1089"/>
    <x v="276"/>
    <x v="6"/>
    <x v="5"/>
    <x v="4"/>
    <s v="M"/>
    <n v="1"/>
    <n v="198000"/>
    <n v="0"/>
    <x v="2"/>
    <n v="198000"/>
  </r>
  <r>
    <s v="ORD-1022"/>
    <x v="86"/>
    <x v="24"/>
    <x v="17"/>
    <x v="3"/>
    <s v="M"/>
    <n v="1"/>
    <n v="210000"/>
    <n v="0"/>
    <x v="0"/>
    <n v="210000"/>
  </r>
  <r>
    <s v="ORD-1129"/>
    <x v="71"/>
    <x v="3"/>
    <x v="2"/>
    <x v="2"/>
    <s v="M"/>
    <n v="3"/>
    <n v="182000"/>
    <n v="5"/>
    <x v="3"/>
    <n v="518700"/>
  </r>
  <r>
    <s v="ORD-2093"/>
    <x v="141"/>
    <x v="17"/>
    <x v="4"/>
    <x v="3"/>
    <s v="Unknown"/>
    <n v="3"/>
    <n v="215000"/>
    <n v="5"/>
    <x v="3"/>
    <n v="612750"/>
  </r>
  <r>
    <s v="ORD-1023"/>
    <x v="25"/>
    <x v="39"/>
    <x v="19"/>
    <x v="0"/>
    <s v="Unknown"/>
    <n v="4"/>
    <n v="440000"/>
    <n v="20"/>
    <x v="3"/>
    <n v="1408000"/>
  </r>
  <r>
    <s v="ORD-1641"/>
    <x v="202"/>
    <x v="32"/>
    <x v="11"/>
    <x v="1"/>
    <s v="M"/>
    <n v="2"/>
    <n v="260000"/>
    <n v="0"/>
    <x v="1"/>
    <n v="520000"/>
  </r>
  <r>
    <s v="ORD-2175"/>
    <x v="81"/>
    <x v="16"/>
    <x v="12"/>
    <x v="7"/>
    <s v="M"/>
    <n v="1"/>
    <n v="295000"/>
    <n v="0"/>
    <x v="3"/>
    <n v="295000"/>
  </r>
  <r>
    <s v="ORD-1583"/>
    <x v="277"/>
    <x v="26"/>
    <x v="18"/>
    <x v="7"/>
    <s v="M"/>
    <n v="1"/>
    <n v="335000"/>
    <n v="0"/>
    <x v="1"/>
    <n v="335000"/>
  </r>
  <r>
    <s v="ORD-1079"/>
    <x v="133"/>
    <x v="20"/>
    <x v="14"/>
    <x v="0"/>
    <s v="M"/>
    <n v="2"/>
    <n v="425000"/>
    <n v="10"/>
    <x v="3"/>
    <n v="765000"/>
  </r>
  <r>
    <s v="ORD-1464"/>
    <x v="206"/>
    <x v="28"/>
    <x v="20"/>
    <x v="10"/>
    <s v="M"/>
    <n v="1"/>
    <n v="228000"/>
    <n v="0"/>
    <x v="1"/>
    <n v="228000"/>
  </r>
  <r>
    <s v="ORD-1371"/>
    <x v="180"/>
    <x v="35"/>
    <x v="13"/>
    <x v="8"/>
    <s v="M"/>
    <n v="1"/>
    <n v="395000"/>
    <n v="0"/>
    <x v="0"/>
    <n v="395000"/>
  </r>
  <r>
    <s v="ORD-2198"/>
    <x v="278"/>
    <x v="27"/>
    <x v="19"/>
    <x v="0"/>
    <s v="L"/>
    <n v="3"/>
    <n v="440000"/>
    <n v="0"/>
    <x v="1"/>
    <n v="1320000"/>
  </r>
  <r>
    <s v="ORD-2000"/>
    <x v="167"/>
    <x v="39"/>
    <x v="19"/>
    <x v="0"/>
    <s v="M"/>
    <n v="1"/>
    <n v="440000"/>
    <n v="0"/>
    <x v="1"/>
    <n v="440000"/>
  </r>
  <r>
    <s v="ORD-1952"/>
    <x v="279"/>
    <x v="27"/>
    <x v="19"/>
    <x v="0"/>
    <s v="L"/>
    <n v="1"/>
    <n v="440000"/>
    <n v="0"/>
    <x v="1"/>
    <n v="440000"/>
  </r>
  <r>
    <s v="ORD-1945"/>
    <x v="180"/>
    <x v="0"/>
    <x v="0"/>
    <x v="0"/>
    <s v="M"/>
    <n v="1"/>
    <n v="420000"/>
    <n v="20"/>
    <x v="3"/>
    <n v="336000"/>
  </r>
  <r>
    <s v="ORD-1372"/>
    <x v="22"/>
    <x v="30"/>
    <x v="16"/>
    <x v="0"/>
    <s v="S"/>
    <n v="1"/>
    <n v="430000"/>
    <n v="0"/>
    <x v="1"/>
    <n v="430000"/>
  </r>
  <r>
    <s v="ORD-1935"/>
    <x v="131"/>
    <x v="35"/>
    <x v="13"/>
    <x v="8"/>
    <s v="M"/>
    <n v="2"/>
    <n v="395000"/>
    <n v="0"/>
    <x v="0"/>
    <n v="790000"/>
  </r>
  <r>
    <s v="ORD-2114"/>
    <x v="63"/>
    <x v="28"/>
    <x v="20"/>
    <x v="10"/>
    <s v="M"/>
    <n v="4"/>
    <n v="228000"/>
    <n v="0"/>
    <x v="3"/>
    <n v="912000"/>
  </r>
  <r>
    <s v="ORD-1541"/>
    <x v="15"/>
    <x v="3"/>
    <x v="2"/>
    <x v="2"/>
    <s v="M"/>
    <n v="1"/>
    <n v="182000"/>
    <n v="0"/>
    <x v="1"/>
    <n v="182000"/>
  </r>
  <r>
    <s v="ORD-1483"/>
    <x v="232"/>
    <x v="38"/>
    <x v="15"/>
    <x v="9"/>
    <s v="S"/>
    <n v="2"/>
    <n v="170000"/>
    <n v="0"/>
    <x v="2"/>
    <n v="340000"/>
  </r>
  <r>
    <s v="ORD-1121"/>
    <x v="152"/>
    <x v="17"/>
    <x v="4"/>
    <x v="3"/>
    <s v="M"/>
    <n v="1"/>
    <n v="215000"/>
    <n v="0"/>
    <x v="0"/>
    <n v="215000"/>
  </r>
  <r>
    <s v="ORD-1579"/>
    <x v="209"/>
    <x v="10"/>
    <x v="8"/>
    <x v="3"/>
    <s v="S"/>
    <n v="5"/>
    <n v="220000"/>
    <n v="5"/>
    <x v="3"/>
    <n v="1045000"/>
  </r>
  <r>
    <s v="ORD-2163"/>
    <x v="151"/>
    <x v="34"/>
    <x v="23"/>
    <x v="7"/>
    <s v="M"/>
    <n v="5"/>
    <n v="305000"/>
    <n v="0"/>
    <x v="1"/>
    <n v="1525000"/>
  </r>
  <r>
    <s v="ORD-1941"/>
    <x v="219"/>
    <x v="34"/>
    <x v="23"/>
    <x v="7"/>
    <s v="M"/>
    <n v="2"/>
    <n v="305000"/>
    <n v="0"/>
    <x v="0"/>
    <n v="610000"/>
  </r>
  <r>
    <s v="ORD-1726"/>
    <x v="133"/>
    <x v="22"/>
    <x v="15"/>
    <x v="9"/>
    <s v="M"/>
    <n v="1"/>
    <n v="170000"/>
    <n v="0"/>
    <x v="4"/>
    <n v="170000"/>
  </r>
  <r>
    <s v="ORD-1997"/>
    <x v="10"/>
    <x v="29"/>
    <x v="21"/>
    <x v="1"/>
    <s v="M"/>
    <n v="4"/>
    <n v="280000"/>
    <n v="0"/>
    <x v="2"/>
    <n v="1120000"/>
  </r>
  <r>
    <s v="ORD-1552"/>
    <x v="225"/>
    <x v="21"/>
    <x v="8"/>
    <x v="3"/>
    <s v="L"/>
    <n v="2"/>
    <n v="220000"/>
    <n v="0"/>
    <x v="2"/>
    <n v="440000"/>
  </r>
  <r>
    <s v="ORD-1239"/>
    <x v="239"/>
    <x v="35"/>
    <x v="13"/>
    <x v="8"/>
    <s v="M"/>
    <n v="2"/>
    <n v="395000"/>
    <n v="10"/>
    <x v="1"/>
    <n v="711000"/>
  </r>
  <r>
    <s v="ORD-1817"/>
    <x v="57"/>
    <x v="0"/>
    <x v="0"/>
    <x v="0"/>
    <s v="M"/>
    <n v="1"/>
    <n v="420000"/>
    <n v="0"/>
    <x v="0"/>
    <n v="420000"/>
  </r>
  <r>
    <s v="ORD-1640"/>
    <x v="280"/>
    <x v="38"/>
    <x v="15"/>
    <x v="9"/>
    <s v="S"/>
    <n v="1"/>
    <n v="170000"/>
    <n v="0"/>
    <x v="2"/>
    <n v="170000"/>
  </r>
  <r>
    <s v="ORD-1470"/>
    <x v="59"/>
    <x v="21"/>
    <x v="8"/>
    <x v="3"/>
    <s v="L"/>
    <n v="3"/>
    <n v="220000"/>
    <n v="0"/>
    <x v="1"/>
    <n v="660000"/>
  </r>
  <r>
    <s v="ORD-1923"/>
    <x v="205"/>
    <x v="27"/>
    <x v="19"/>
    <x v="0"/>
    <s v="L"/>
    <n v="3"/>
    <n v="440000"/>
    <n v="0"/>
    <x v="0"/>
    <n v="1320000"/>
  </r>
  <r>
    <s v="ORD-1397"/>
    <x v="136"/>
    <x v="12"/>
    <x v="10"/>
    <x v="6"/>
    <s v="S"/>
    <n v="2"/>
    <n v="105000"/>
    <n v="0"/>
    <x v="0"/>
    <n v="210000"/>
  </r>
  <r>
    <s v="ORD-1163"/>
    <x v="119"/>
    <x v="36"/>
    <x v="9"/>
    <x v="4"/>
    <s v="S"/>
    <n v="1"/>
    <n v="195000"/>
    <n v="0"/>
    <x v="0"/>
    <n v="195000"/>
  </r>
  <r>
    <s v="ORD-1414"/>
    <x v="190"/>
    <x v="6"/>
    <x v="5"/>
    <x v="4"/>
    <s v="M"/>
    <n v="2"/>
    <n v="198000"/>
    <n v="0"/>
    <x v="2"/>
    <n v="396000"/>
  </r>
  <r>
    <s v="ORD-1578"/>
    <x v="38"/>
    <x v="23"/>
    <x v="16"/>
    <x v="0"/>
    <s v="M"/>
    <n v="2"/>
    <n v="430000"/>
    <n v="5"/>
    <x v="2"/>
    <n v="817000"/>
  </r>
  <r>
    <s v="ORD-1772"/>
    <x v="281"/>
    <x v="22"/>
    <x v="15"/>
    <x v="9"/>
    <s v="M"/>
    <n v="1"/>
    <n v="170000"/>
    <n v="0"/>
    <x v="1"/>
    <n v="170000"/>
  </r>
  <r>
    <s v="ORD-1858"/>
    <x v="23"/>
    <x v="29"/>
    <x v="21"/>
    <x v="1"/>
    <s v="M"/>
    <n v="2"/>
    <n v="280000"/>
    <n v="5"/>
    <x v="0"/>
    <n v="532000"/>
  </r>
  <r>
    <s v="ORD-1386"/>
    <x v="282"/>
    <x v="6"/>
    <x v="5"/>
    <x v="4"/>
    <s v="M"/>
    <n v="1"/>
    <n v="198000"/>
    <n v="20"/>
    <x v="4"/>
    <n v="158400"/>
  </r>
  <r>
    <s v="ORD-2180"/>
    <x v="185"/>
    <x v="0"/>
    <x v="0"/>
    <x v="0"/>
    <s v="M"/>
    <n v="1"/>
    <n v="420000"/>
    <n v="0"/>
    <x v="0"/>
    <n v="420000"/>
  </r>
  <r>
    <s v="ORD-1567"/>
    <x v="283"/>
    <x v="37"/>
    <x v="8"/>
    <x v="3"/>
    <s v="M"/>
    <n v="4"/>
    <n v="220000"/>
    <n v="10"/>
    <x v="0"/>
    <n v="792000"/>
  </r>
  <r>
    <s v="ORD-2042"/>
    <x v="284"/>
    <x v="11"/>
    <x v="9"/>
    <x v="4"/>
    <s v="M"/>
    <n v="2"/>
    <n v="195000"/>
    <n v="0"/>
    <x v="1"/>
    <n v="390000"/>
  </r>
  <r>
    <s v="ORD-1207"/>
    <x v="56"/>
    <x v="13"/>
    <x v="11"/>
    <x v="1"/>
    <s v="S"/>
    <n v="1"/>
    <n v="260000"/>
    <n v="0"/>
    <x v="0"/>
    <n v="260000"/>
  </r>
  <r>
    <s v="ORD-2144"/>
    <x v="60"/>
    <x v="30"/>
    <x v="16"/>
    <x v="0"/>
    <s v="S"/>
    <n v="2"/>
    <n v="430000"/>
    <n v="0"/>
    <x v="0"/>
    <n v="860000"/>
  </r>
  <r>
    <s v="ORD-1429"/>
    <x v="121"/>
    <x v="14"/>
    <x v="12"/>
    <x v="7"/>
    <s v="S"/>
    <n v="1"/>
    <n v="295000"/>
    <n v="0"/>
    <x v="1"/>
    <n v="295000"/>
  </r>
  <r>
    <s v="ORD-1440"/>
    <x v="83"/>
    <x v="11"/>
    <x v="9"/>
    <x v="4"/>
    <s v="M"/>
    <n v="4"/>
    <n v="195000"/>
    <n v="0"/>
    <x v="1"/>
    <n v="780000"/>
  </r>
  <r>
    <s v="ORD-1950"/>
    <x v="180"/>
    <x v="4"/>
    <x v="3"/>
    <x v="3"/>
    <s v="Unknown"/>
    <n v="2"/>
    <n v="210000"/>
    <n v="20"/>
    <x v="0"/>
    <n v="336000"/>
  </r>
  <r>
    <s v="ORD-2074"/>
    <x v="285"/>
    <x v="11"/>
    <x v="9"/>
    <x v="4"/>
    <s v="M"/>
    <n v="1"/>
    <n v="195000"/>
    <n v="0"/>
    <x v="2"/>
    <n v="195000"/>
  </r>
  <r>
    <s v="ORD-1996"/>
    <x v="103"/>
    <x v="18"/>
    <x v="13"/>
    <x v="8"/>
    <s v="L"/>
    <n v="1"/>
    <n v="395000"/>
    <n v="0"/>
    <x v="4"/>
    <n v="395000"/>
  </r>
  <r>
    <s v="ORD-1973"/>
    <x v="95"/>
    <x v="23"/>
    <x v="16"/>
    <x v="0"/>
    <s v="M"/>
    <n v="1"/>
    <n v="430000"/>
    <n v="5"/>
    <x v="1"/>
    <n v="408500"/>
  </r>
  <r>
    <s v="ORD-1535"/>
    <x v="75"/>
    <x v="29"/>
    <x v="21"/>
    <x v="1"/>
    <s v="M"/>
    <n v="2"/>
    <n v="280000"/>
    <n v="0"/>
    <x v="0"/>
    <n v="560000"/>
  </r>
  <r>
    <s v="ORD-1918"/>
    <x v="286"/>
    <x v="30"/>
    <x v="16"/>
    <x v="0"/>
    <s v="S"/>
    <n v="4"/>
    <n v="430000"/>
    <n v="0"/>
    <x v="1"/>
    <n v="1720000"/>
  </r>
  <r>
    <s v="ORD-1480"/>
    <x v="234"/>
    <x v="18"/>
    <x v="13"/>
    <x v="8"/>
    <s v="L"/>
    <n v="3"/>
    <n v="395000"/>
    <n v="0"/>
    <x v="1"/>
    <n v="1185000"/>
  </r>
  <r>
    <s v="ORD-1633"/>
    <x v="280"/>
    <x v="4"/>
    <x v="3"/>
    <x v="3"/>
    <s v="M"/>
    <n v="5"/>
    <n v="210000"/>
    <n v="15"/>
    <x v="0"/>
    <n v="892500"/>
  </r>
  <r>
    <s v="ORD-1132"/>
    <x v="108"/>
    <x v="11"/>
    <x v="9"/>
    <x v="4"/>
    <s v="M"/>
    <n v="1"/>
    <n v="195000"/>
    <n v="0"/>
    <x v="1"/>
    <n v="195000"/>
  </r>
  <r>
    <s v="ORD-1605"/>
    <x v="237"/>
    <x v="29"/>
    <x v="21"/>
    <x v="1"/>
    <s v="M"/>
    <n v="1"/>
    <n v="280000"/>
    <n v="0"/>
    <x v="1"/>
    <n v="280000"/>
  </r>
  <r>
    <s v="ORD-1628"/>
    <x v="65"/>
    <x v="8"/>
    <x v="7"/>
    <x v="3"/>
    <s v="L"/>
    <n v="1"/>
    <n v="235000"/>
    <n v="0"/>
    <x v="4"/>
    <n v="235000"/>
  </r>
  <r>
    <s v="ORD-1408"/>
    <x v="287"/>
    <x v="0"/>
    <x v="0"/>
    <x v="0"/>
    <s v="M"/>
    <n v="1"/>
    <n v="420000"/>
    <n v="5"/>
    <x v="0"/>
    <n v="399000"/>
  </r>
  <r>
    <s v="ORD-2138"/>
    <x v="17"/>
    <x v="2"/>
    <x v="1"/>
    <x v="1"/>
    <s v="M"/>
    <n v="4"/>
    <n v="265000"/>
    <n v="0"/>
    <x v="0"/>
    <n v="1060000"/>
  </r>
  <r>
    <s v="ORD-2134"/>
    <x v="150"/>
    <x v="39"/>
    <x v="19"/>
    <x v="0"/>
    <s v="M"/>
    <n v="1"/>
    <n v="440000"/>
    <n v="0"/>
    <x v="3"/>
    <n v="440000"/>
  </r>
  <r>
    <s v="ORD-1554"/>
    <x v="288"/>
    <x v="38"/>
    <x v="15"/>
    <x v="9"/>
    <s v="S"/>
    <n v="3"/>
    <n v="170000"/>
    <n v="0"/>
    <x v="1"/>
    <n v="510000"/>
  </r>
  <r>
    <s v="ORD-1457"/>
    <x v="200"/>
    <x v="1"/>
    <x v="0"/>
    <x v="0"/>
    <s v="L"/>
    <n v="4"/>
    <n v="420000"/>
    <n v="0"/>
    <x v="1"/>
    <n v="1680000"/>
  </r>
  <r>
    <s v="ORD-1001"/>
    <x v="289"/>
    <x v="12"/>
    <x v="10"/>
    <x v="6"/>
    <s v="S"/>
    <n v="2"/>
    <n v="105000"/>
    <n v="5"/>
    <x v="1"/>
    <n v="199500"/>
  </r>
  <r>
    <s v="ORD-1288"/>
    <x v="222"/>
    <x v="30"/>
    <x v="16"/>
    <x v="0"/>
    <s v="S"/>
    <n v="2"/>
    <n v="430000"/>
    <n v="0"/>
    <x v="3"/>
    <n v="860000"/>
  </r>
  <r>
    <s v="ORD-1230"/>
    <x v="217"/>
    <x v="31"/>
    <x v="10"/>
    <x v="6"/>
    <s v="L"/>
    <n v="5"/>
    <n v="105000"/>
    <n v="0"/>
    <x v="1"/>
    <n v="525000"/>
  </r>
  <r>
    <s v="ORD-1088"/>
    <x v="235"/>
    <x v="22"/>
    <x v="15"/>
    <x v="9"/>
    <s v="M"/>
    <n v="1"/>
    <n v="170000"/>
    <n v="15"/>
    <x v="0"/>
    <n v="144500"/>
  </r>
  <r>
    <s v="ORD-1306"/>
    <x v="63"/>
    <x v="39"/>
    <x v="19"/>
    <x v="0"/>
    <s v="M"/>
    <n v="1"/>
    <n v="440000"/>
    <n v="15"/>
    <x v="3"/>
    <n v="374000"/>
  </r>
  <r>
    <s v="ORD-1379"/>
    <x v="95"/>
    <x v="20"/>
    <x v="14"/>
    <x v="0"/>
    <s v="M"/>
    <n v="3"/>
    <n v="425000"/>
    <n v="0"/>
    <x v="2"/>
    <n v="1275000"/>
  </r>
  <r>
    <s v="ORD-1402"/>
    <x v="149"/>
    <x v="37"/>
    <x v="8"/>
    <x v="3"/>
    <s v="M"/>
    <n v="1"/>
    <n v="220000"/>
    <n v="0"/>
    <x v="1"/>
    <n v="220000"/>
  </r>
  <r>
    <s v="ORD-1013"/>
    <x v="230"/>
    <x v="29"/>
    <x v="21"/>
    <x v="1"/>
    <s v="M"/>
    <n v="1"/>
    <n v="280000"/>
    <n v="0"/>
    <x v="0"/>
    <n v="280000"/>
  </r>
  <r>
    <s v="ORD-1075"/>
    <x v="290"/>
    <x v="25"/>
    <x v="10"/>
    <x v="6"/>
    <s v="M"/>
    <n v="3"/>
    <n v="105000"/>
    <n v="0"/>
    <x v="1"/>
    <n v="315000"/>
  </r>
  <r>
    <s v="ORD-1094"/>
    <x v="142"/>
    <x v="38"/>
    <x v="15"/>
    <x v="9"/>
    <s v="S"/>
    <n v="2"/>
    <n v="170000"/>
    <n v="0"/>
    <x v="3"/>
    <n v="340000"/>
  </r>
  <r>
    <s v="ORD-2082"/>
    <x v="188"/>
    <x v="24"/>
    <x v="17"/>
    <x v="3"/>
    <s v="M"/>
    <n v="1"/>
    <n v="210000"/>
    <n v="0"/>
    <x v="3"/>
    <n v="210000"/>
  </r>
  <r>
    <s v="ORD-1432"/>
    <x v="255"/>
    <x v="33"/>
    <x v="22"/>
    <x v="7"/>
    <s v="M"/>
    <n v="1"/>
    <n v="330000"/>
    <n v="5"/>
    <x v="3"/>
    <n v="313500"/>
  </r>
  <r>
    <s v="ORD-1399"/>
    <x v="166"/>
    <x v="34"/>
    <x v="23"/>
    <x v="7"/>
    <s v="M"/>
    <n v="-1"/>
    <n v="305000"/>
    <n v="0"/>
    <x v="0"/>
    <n v="-305000"/>
  </r>
  <r>
    <s v="ORD-1443"/>
    <x v="33"/>
    <x v="30"/>
    <x v="16"/>
    <x v="0"/>
    <s v="S"/>
    <n v="3"/>
    <n v="430000"/>
    <n v="0"/>
    <x v="3"/>
    <n v="1290000"/>
  </r>
  <r>
    <s v="ORD-1446"/>
    <x v="61"/>
    <x v="5"/>
    <x v="4"/>
    <x v="3"/>
    <s v="L"/>
    <n v="2"/>
    <n v="215000"/>
    <n v="0"/>
    <x v="4"/>
    <n v="430000"/>
  </r>
  <r>
    <s v="ORD-1047"/>
    <x v="291"/>
    <x v="10"/>
    <x v="8"/>
    <x v="3"/>
    <s v="S"/>
    <n v="4"/>
    <n v="220000"/>
    <n v="0"/>
    <x v="1"/>
    <n v="880000"/>
  </r>
  <r>
    <s v="ORD-1020"/>
    <x v="162"/>
    <x v="17"/>
    <x v="4"/>
    <x v="3"/>
    <s v="M"/>
    <n v="1"/>
    <n v="215000"/>
    <n v="10"/>
    <x v="3"/>
    <n v="193500"/>
  </r>
  <r>
    <s v="ORD-1339"/>
    <x v="292"/>
    <x v="26"/>
    <x v="18"/>
    <x v="7"/>
    <s v="M"/>
    <n v="1"/>
    <n v="335000"/>
    <n v="10"/>
    <x v="0"/>
    <n v="301500"/>
  </r>
  <r>
    <s v="ORD-1076"/>
    <x v="127"/>
    <x v="0"/>
    <x v="0"/>
    <x v="0"/>
    <s v="M"/>
    <n v="3"/>
    <n v="420000"/>
    <n v="0"/>
    <x v="1"/>
    <n v="1260000"/>
  </r>
  <r>
    <s v="ORD-1961"/>
    <x v="207"/>
    <x v="34"/>
    <x v="23"/>
    <x v="7"/>
    <s v="M"/>
    <n v="-4"/>
    <n v="305000"/>
    <n v="0"/>
    <x v="0"/>
    <n v="-1220000"/>
  </r>
  <r>
    <s v="ORD-1734"/>
    <x v="268"/>
    <x v="13"/>
    <x v="11"/>
    <x v="1"/>
    <s v="S"/>
    <n v="2"/>
    <n v="260000"/>
    <n v="0"/>
    <x v="2"/>
    <n v="520000"/>
  </r>
  <r>
    <s v="ORD-1690"/>
    <x v="163"/>
    <x v="4"/>
    <x v="3"/>
    <x v="3"/>
    <s v="M"/>
    <n v="1"/>
    <n v="210000"/>
    <n v="0"/>
    <x v="3"/>
    <n v="210000"/>
  </r>
  <r>
    <s v="ORD-2040"/>
    <x v="81"/>
    <x v="13"/>
    <x v="11"/>
    <x v="1"/>
    <s v="S"/>
    <n v="1"/>
    <n v="260000"/>
    <n v="0"/>
    <x v="0"/>
    <n v="260000"/>
  </r>
  <r>
    <s v="ORD-2096"/>
    <x v="65"/>
    <x v="11"/>
    <x v="9"/>
    <x v="4"/>
    <s v="M"/>
    <n v="2"/>
    <n v="195000"/>
    <n v="0"/>
    <x v="1"/>
    <n v="390000"/>
  </r>
  <r>
    <s v="ORD-1378"/>
    <x v="57"/>
    <x v="11"/>
    <x v="9"/>
    <x v="4"/>
    <s v="M"/>
    <n v="1"/>
    <n v="195000"/>
    <n v="0"/>
    <x v="1"/>
    <n v="195000"/>
  </r>
  <r>
    <s v="ORD-1897"/>
    <x v="127"/>
    <x v="20"/>
    <x v="14"/>
    <x v="0"/>
    <s v="M"/>
    <n v="2"/>
    <n v="425000"/>
    <n v="0"/>
    <x v="2"/>
    <n v="850000"/>
  </r>
  <r>
    <s v="ORD-1186"/>
    <x v="293"/>
    <x v="21"/>
    <x v="8"/>
    <x v="3"/>
    <s v="L"/>
    <n v="2"/>
    <n v="220000"/>
    <n v="0"/>
    <x v="1"/>
    <n v="440000"/>
  </r>
  <r>
    <s v="ORD-1413"/>
    <x v="140"/>
    <x v="35"/>
    <x v="13"/>
    <x v="8"/>
    <s v="M"/>
    <n v="1"/>
    <n v="395000"/>
    <n v="0"/>
    <x v="0"/>
    <n v="395000"/>
  </r>
  <r>
    <s v="ORD-2036"/>
    <x v="154"/>
    <x v="28"/>
    <x v="20"/>
    <x v="10"/>
    <s v="M"/>
    <n v="4"/>
    <n v="228000"/>
    <n v="0"/>
    <x v="4"/>
    <n v="912000"/>
  </r>
  <r>
    <s v="ORD-1017"/>
    <x v="191"/>
    <x v="37"/>
    <x v="8"/>
    <x v="3"/>
    <s v="M"/>
    <n v="3"/>
    <n v="220000"/>
    <n v="0"/>
    <x v="2"/>
    <n v="660000"/>
  </r>
  <r>
    <s v="ORD-1203"/>
    <x v="276"/>
    <x v="12"/>
    <x v="10"/>
    <x v="6"/>
    <s v="S"/>
    <n v="1"/>
    <n v="105000"/>
    <n v="15"/>
    <x v="1"/>
    <n v="89250"/>
  </r>
  <r>
    <s v="ORD-1003"/>
    <x v="294"/>
    <x v="1"/>
    <x v="0"/>
    <x v="0"/>
    <s v="L"/>
    <n v="1"/>
    <n v="420000"/>
    <n v="0"/>
    <x v="0"/>
    <n v="420000"/>
  </r>
  <r>
    <s v="ORD-1035"/>
    <x v="295"/>
    <x v="31"/>
    <x v="10"/>
    <x v="6"/>
    <s v="L"/>
    <n v="4"/>
    <n v="105000"/>
    <n v="0"/>
    <x v="0"/>
    <n v="420000"/>
  </r>
  <r>
    <s v="ORD-2156"/>
    <x v="24"/>
    <x v="31"/>
    <x v="10"/>
    <x v="6"/>
    <s v="L"/>
    <n v="1"/>
    <n v="105000"/>
    <n v="5"/>
    <x v="1"/>
    <n v="99750"/>
  </r>
  <r>
    <s v="ORD-1323"/>
    <x v="157"/>
    <x v="12"/>
    <x v="10"/>
    <x v="6"/>
    <s v="S"/>
    <n v="1"/>
    <n v="105000"/>
    <n v="0"/>
    <x v="0"/>
    <n v="105000"/>
  </r>
  <r>
    <s v="ORD-2090"/>
    <x v="109"/>
    <x v="10"/>
    <x v="8"/>
    <x v="3"/>
    <s v="S"/>
    <n v="1"/>
    <n v="220000"/>
    <n v="10"/>
    <x v="0"/>
    <n v="198000"/>
  </r>
  <r>
    <s v="ORD-1418"/>
    <x v="250"/>
    <x v="3"/>
    <x v="2"/>
    <x v="2"/>
    <s v="M"/>
    <n v="1"/>
    <n v="182000"/>
    <n v="0"/>
    <x v="0"/>
    <n v="182000"/>
  </r>
  <r>
    <s v="ORD-1316"/>
    <x v="167"/>
    <x v="15"/>
    <x v="6"/>
    <x v="5"/>
    <s v="L"/>
    <n v="2"/>
    <n v="320000"/>
    <n v="0"/>
    <x v="4"/>
    <n v="640000"/>
  </r>
  <r>
    <s v="ORD-2172"/>
    <x v="287"/>
    <x v="11"/>
    <x v="9"/>
    <x v="4"/>
    <s v="M"/>
    <n v="1"/>
    <n v="195000"/>
    <n v="0"/>
    <x v="0"/>
    <n v="195000"/>
  </r>
  <r>
    <s v="ORD-2049"/>
    <x v="46"/>
    <x v="4"/>
    <x v="3"/>
    <x v="3"/>
    <s v="M"/>
    <n v="1"/>
    <n v="210000"/>
    <n v="0"/>
    <x v="4"/>
    <n v="210000"/>
  </r>
  <r>
    <s v="ORD-1141"/>
    <x v="199"/>
    <x v="5"/>
    <x v="4"/>
    <x v="3"/>
    <s v="L"/>
    <n v="4"/>
    <n v="215000"/>
    <n v="0"/>
    <x v="2"/>
    <n v="860000"/>
  </r>
  <r>
    <s v="ORD-1705"/>
    <x v="108"/>
    <x v="5"/>
    <x v="4"/>
    <x v="3"/>
    <s v="L"/>
    <n v="1"/>
    <n v="215000"/>
    <n v="0"/>
    <x v="0"/>
    <n v="215000"/>
  </r>
  <r>
    <s v="ORD-1563"/>
    <x v="13"/>
    <x v="14"/>
    <x v="12"/>
    <x v="7"/>
    <s v="S"/>
    <n v="1"/>
    <n v="295000"/>
    <n v="0"/>
    <x v="3"/>
    <n v="295000"/>
  </r>
  <r>
    <s v="ORD-1431"/>
    <x v="154"/>
    <x v="26"/>
    <x v="18"/>
    <x v="7"/>
    <s v="M"/>
    <n v="4"/>
    <n v="335000"/>
    <n v="5"/>
    <x v="1"/>
    <n v="1273000"/>
  </r>
  <r>
    <s v="ORD-1282"/>
    <x v="155"/>
    <x v="9"/>
    <x v="7"/>
    <x v="3"/>
    <s v="M"/>
    <n v="1"/>
    <n v="235000"/>
    <n v="0"/>
    <x v="0"/>
    <n v="235000"/>
  </r>
  <r>
    <s v="ORD-1494"/>
    <x v="97"/>
    <x v="4"/>
    <x v="3"/>
    <x v="3"/>
    <s v="M"/>
    <n v="3"/>
    <n v="210000"/>
    <n v="0"/>
    <x v="1"/>
    <n v="630000"/>
  </r>
  <r>
    <s v="ORD-2004"/>
    <x v="208"/>
    <x v="30"/>
    <x v="16"/>
    <x v="0"/>
    <s v="S"/>
    <n v="1"/>
    <n v="430000"/>
    <n v="0"/>
    <x v="0"/>
    <n v="430000"/>
  </r>
  <r>
    <s v="ORD-1522"/>
    <x v="74"/>
    <x v="7"/>
    <x v="6"/>
    <x v="5"/>
    <s v="M"/>
    <n v="2"/>
    <n v="320000"/>
    <n v="5"/>
    <x v="1"/>
    <n v="608000"/>
  </r>
  <r>
    <s v="ORD-1603"/>
    <x v="123"/>
    <x v="13"/>
    <x v="11"/>
    <x v="1"/>
    <s v="S"/>
    <n v="5"/>
    <n v="260000"/>
    <n v="0"/>
    <x v="1"/>
    <n v="1300000"/>
  </r>
  <r>
    <s v="ORD-1951"/>
    <x v="128"/>
    <x v="17"/>
    <x v="4"/>
    <x v="3"/>
    <s v="M"/>
    <n v="2"/>
    <n v="215000"/>
    <n v="0"/>
    <x v="0"/>
    <n v="430000"/>
  </r>
  <r>
    <s v="ORD-1249"/>
    <x v="13"/>
    <x v="14"/>
    <x v="12"/>
    <x v="7"/>
    <s v="S"/>
    <n v="2"/>
    <n v="295000"/>
    <n v="0"/>
    <x v="0"/>
    <n v="590000"/>
  </r>
  <r>
    <s v="ORD-1665"/>
    <x v="110"/>
    <x v="4"/>
    <x v="3"/>
    <x v="3"/>
    <s v="M"/>
    <n v="2"/>
    <n v="210000"/>
    <n v="15"/>
    <x v="1"/>
    <n v="357000"/>
  </r>
  <r>
    <s v="ORD-1326"/>
    <x v="139"/>
    <x v="6"/>
    <x v="5"/>
    <x v="4"/>
    <s v="M"/>
    <n v="2"/>
    <n v="198000"/>
    <n v="0"/>
    <x v="2"/>
    <n v="396000"/>
  </r>
  <r>
    <s v="ORD-1296"/>
    <x v="108"/>
    <x v="32"/>
    <x v="11"/>
    <x v="1"/>
    <s v="Unknown"/>
    <n v="-1"/>
    <n v="260000"/>
    <n v="10"/>
    <x v="0"/>
    <n v="-234000"/>
  </r>
  <r>
    <s v="ORD-1566"/>
    <x v="246"/>
    <x v="15"/>
    <x v="6"/>
    <x v="5"/>
    <s v="L"/>
    <n v="1"/>
    <n v="320000"/>
    <n v="0"/>
    <x v="3"/>
    <n v="320000"/>
  </r>
  <r>
    <s v="ORD-1240"/>
    <x v="170"/>
    <x v="4"/>
    <x v="3"/>
    <x v="3"/>
    <s v="M"/>
    <n v="1"/>
    <n v="210000"/>
    <n v="0"/>
    <x v="0"/>
    <n v="210000"/>
  </r>
  <r>
    <s v="ORD-1063"/>
    <x v="39"/>
    <x v="9"/>
    <x v="7"/>
    <x v="3"/>
    <s v="M"/>
    <n v="1"/>
    <n v="235000"/>
    <n v="0"/>
    <x v="4"/>
    <n v="235000"/>
  </r>
  <r>
    <s v="ORD-1295"/>
    <x v="11"/>
    <x v="27"/>
    <x v="19"/>
    <x v="0"/>
    <s v="L"/>
    <n v="2"/>
    <n v="440000"/>
    <n v="0"/>
    <x v="1"/>
    <n v="880000"/>
  </r>
  <r>
    <s v="ORD-1095"/>
    <x v="39"/>
    <x v="34"/>
    <x v="23"/>
    <x v="7"/>
    <s v="M"/>
    <n v="1"/>
    <n v="305000"/>
    <n v="15"/>
    <x v="3"/>
    <n v="259250"/>
  </r>
  <r>
    <s v="ORD-1392"/>
    <x v="296"/>
    <x v="37"/>
    <x v="8"/>
    <x v="3"/>
    <s v="M"/>
    <n v="3"/>
    <n v="220000"/>
    <n v="0"/>
    <x v="1"/>
    <n v="660000"/>
  </r>
  <r>
    <s v="ORD-1193"/>
    <x v="33"/>
    <x v="0"/>
    <x v="0"/>
    <x v="0"/>
    <s v="M"/>
    <n v="4"/>
    <n v="420000"/>
    <n v="0"/>
    <x v="2"/>
    <n v="1680000"/>
  </r>
  <r>
    <s v="ORD-1302"/>
    <x v="82"/>
    <x v="39"/>
    <x v="19"/>
    <x v="0"/>
    <s v="M"/>
    <n v="2"/>
    <n v="440000"/>
    <n v="0"/>
    <x v="3"/>
    <n v="880000"/>
  </r>
  <r>
    <s v="ORD-1085"/>
    <x v="234"/>
    <x v="36"/>
    <x v="9"/>
    <x v="4"/>
    <s v="S"/>
    <n v="1"/>
    <n v="195000"/>
    <n v="0"/>
    <x v="4"/>
    <n v="195000"/>
  </r>
  <r>
    <s v="ORD-1560"/>
    <x v="12"/>
    <x v="12"/>
    <x v="10"/>
    <x v="6"/>
    <s v="S"/>
    <n v="1"/>
    <n v="105000"/>
    <n v="5"/>
    <x v="0"/>
    <n v="99750"/>
  </r>
  <r>
    <s v="ORD-1011"/>
    <x v="95"/>
    <x v="22"/>
    <x v="15"/>
    <x v="9"/>
    <s v="Unknown"/>
    <n v="1"/>
    <n v="170000"/>
    <n v="10"/>
    <x v="0"/>
    <n v="153000"/>
  </r>
  <r>
    <s v="ORD-1749"/>
    <x v="26"/>
    <x v="11"/>
    <x v="9"/>
    <x v="4"/>
    <s v="M"/>
    <n v="1"/>
    <n v="195000"/>
    <n v="0"/>
    <x v="1"/>
    <n v="195000"/>
  </r>
  <r>
    <s v="ORD-1737"/>
    <x v="145"/>
    <x v="29"/>
    <x v="21"/>
    <x v="1"/>
    <s v="M"/>
    <n v="1"/>
    <n v="280000"/>
    <n v="0"/>
    <x v="1"/>
    <n v="280000"/>
  </r>
  <r>
    <s v="ORD-1047"/>
    <x v="291"/>
    <x v="10"/>
    <x v="8"/>
    <x v="3"/>
    <s v="S"/>
    <n v="4"/>
    <n v="220000"/>
    <n v="0"/>
    <x v="1"/>
    <n v="880000"/>
  </r>
  <r>
    <s v="ORD-2002"/>
    <x v="54"/>
    <x v="32"/>
    <x v="11"/>
    <x v="1"/>
    <s v="M"/>
    <n v="1"/>
    <n v="260000"/>
    <n v="0"/>
    <x v="0"/>
    <n v="260000"/>
  </r>
  <r>
    <s v="ORD-1571"/>
    <x v="225"/>
    <x v="10"/>
    <x v="8"/>
    <x v="3"/>
    <s v="S"/>
    <n v="2"/>
    <n v="220000"/>
    <n v="0"/>
    <x v="3"/>
    <n v="440000"/>
  </r>
  <r>
    <s v="ORD-2019"/>
    <x v="101"/>
    <x v="29"/>
    <x v="21"/>
    <x v="1"/>
    <s v="M"/>
    <n v="1"/>
    <n v="280000"/>
    <n v="0"/>
    <x v="1"/>
    <n v="280000"/>
  </r>
  <r>
    <s v="ORD-2152"/>
    <x v="220"/>
    <x v="25"/>
    <x v="10"/>
    <x v="6"/>
    <s v="M"/>
    <n v="1"/>
    <n v="105000"/>
    <n v="0"/>
    <x v="0"/>
    <n v="105000"/>
  </r>
  <r>
    <s v="ORD-1646"/>
    <x v="54"/>
    <x v="29"/>
    <x v="21"/>
    <x v="1"/>
    <s v="M"/>
    <n v="1"/>
    <n v="280000"/>
    <n v="0"/>
    <x v="3"/>
    <n v="280000"/>
  </r>
  <r>
    <s v="ORD-1520"/>
    <x v="174"/>
    <x v="37"/>
    <x v="8"/>
    <x v="3"/>
    <s v="M"/>
    <n v="1"/>
    <n v="220000"/>
    <n v="0"/>
    <x v="0"/>
    <n v="220000"/>
  </r>
  <r>
    <s v="ORD-1764"/>
    <x v="165"/>
    <x v="38"/>
    <x v="15"/>
    <x v="9"/>
    <s v="S"/>
    <n v="5"/>
    <n v="170000"/>
    <n v="0"/>
    <x v="3"/>
    <n v="850000"/>
  </r>
  <r>
    <s v="ORD-1046"/>
    <x v="12"/>
    <x v="35"/>
    <x v="13"/>
    <x v="8"/>
    <s v="M"/>
    <n v="5"/>
    <n v="395000"/>
    <n v="0"/>
    <x v="4"/>
    <n v="1975000"/>
  </r>
  <r>
    <s v="ORD-1117"/>
    <x v="188"/>
    <x v="10"/>
    <x v="8"/>
    <x v="3"/>
    <s v="S"/>
    <n v="1"/>
    <n v="220000"/>
    <n v="0"/>
    <x v="1"/>
    <n v="220000"/>
  </r>
  <r>
    <s v="ORD-1939"/>
    <x v="121"/>
    <x v="21"/>
    <x v="8"/>
    <x v="3"/>
    <s v="L"/>
    <n v="2"/>
    <n v="220000"/>
    <n v="0"/>
    <x v="0"/>
    <n v="440000"/>
  </r>
  <r>
    <s v="ORD-1444"/>
    <x v="117"/>
    <x v="7"/>
    <x v="6"/>
    <x v="5"/>
    <s v="M"/>
    <n v="2"/>
    <n v="320000"/>
    <n v="10"/>
    <x v="1"/>
    <n v="576000"/>
  </r>
  <r>
    <s v="ORD-1472"/>
    <x v="111"/>
    <x v="27"/>
    <x v="19"/>
    <x v="0"/>
    <s v="L"/>
    <n v="2"/>
    <n v="440000"/>
    <n v="10"/>
    <x v="1"/>
    <n v="792000"/>
  </r>
  <r>
    <s v="ORD-1823"/>
    <x v="102"/>
    <x v="20"/>
    <x v="14"/>
    <x v="0"/>
    <s v="M"/>
    <n v="1"/>
    <n v="425000"/>
    <n v="0"/>
    <x v="2"/>
    <n v="425000"/>
  </r>
  <r>
    <s v="ORD-2195"/>
    <x v="141"/>
    <x v="22"/>
    <x v="15"/>
    <x v="9"/>
    <s v="M"/>
    <n v="1"/>
    <n v="170000"/>
    <n v="0"/>
    <x v="4"/>
    <n v="170000"/>
  </r>
  <r>
    <s v="ORD-2031"/>
    <x v="204"/>
    <x v="10"/>
    <x v="8"/>
    <x v="3"/>
    <s v="S"/>
    <n v="1"/>
    <n v="220000"/>
    <n v="20"/>
    <x v="0"/>
    <n v="176000"/>
  </r>
  <r>
    <s v="ORD-1064"/>
    <x v="249"/>
    <x v="10"/>
    <x v="8"/>
    <x v="3"/>
    <s v="S"/>
    <n v="1"/>
    <n v="220000"/>
    <n v="0"/>
    <x v="0"/>
    <n v="220000"/>
  </r>
  <r>
    <s v="ORD-1016"/>
    <x v="258"/>
    <x v="11"/>
    <x v="9"/>
    <x v="4"/>
    <s v="M"/>
    <n v="2"/>
    <n v="195000"/>
    <n v="0"/>
    <x v="3"/>
    <n v="390000"/>
  </r>
  <r>
    <s v="ORD-1002"/>
    <x v="150"/>
    <x v="39"/>
    <x v="19"/>
    <x v="0"/>
    <s v="M"/>
    <n v="1"/>
    <n v="440000"/>
    <n v="0"/>
    <x v="0"/>
    <n v="440000"/>
  </r>
  <r>
    <s v="ORD-1785"/>
    <x v="263"/>
    <x v="5"/>
    <x v="4"/>
    <x v="3"/>
    <s v="Unknown"/>
    <n v="3"/>
    <n v="215000"/>
    <n v="0"/>
    <x v="0"/>
    <n v="645000"/>
  </r>
  <r>
    <s v="ORD-1896"/>
    <x v="297"/>
    <x v="39"/>
    <x v="19"/>
    <x v="0"/>
    <s v="M"/>
    <n v="1"/>
    <n v="440000"/>
    <n v="10"/>
    <x v="3"/>
    <n v="396000"/>
  </r>
  <r>
    <s v="ORD-2072"/>
    <x v="216"/>
    <x v="14"/>
    <x v="12"/>
    <x v="7"/>
    <s v="S"/>
    <n v="1"/>
    <n v="295000"/>
    <n v="0"/>
    <x v="0"/>
    <n v="295000"/>
  </r>
  <r>
    <s v="ORD-1875"/>
    <x v="298"/>
    <x v="8"/>
    <x v="7"/>
    <x v="3"/>
    <s v="L"/>
    <n v="1"/>
    <n v="235000"/>
    <n v="0"/>
    <x v="2"/>
    <n v="235000"/>
  </r>
  <r>
    <s v="ORD-2188"/>
    <x v="50"/>
    <x v="6"/>
    <x v="5"/>
    <x v="4"/>
    <s v="M"/>
    <n v="3"/>
    <n v="198000"/>
    <n v="0"/>
    <x v="1"/>
    <n v="594000"/>
  </r>
  <r>
    <s v="ORD-1045"/>
    <x v="299"/>
    <x v="39"/>
    <x v="19"/>
    <x v="0"/>
    <s v="M"/>
    <n v="2"/>
    <n v="440000"/>
    <n v="0"/>
    <x v="0"/>
    <n v="880000"/>
  </r>
  <r>
    <s v="ORD-1124"/>
    <x v="300"/>
    <x v="31"/>
    <x v="10"/>
    <x v="6"/>
    <s v="L"/>
    <n v="2"/>
    <n v="105000"/>
    <n v="0"/>
    <x v="2"/>
    <n v="210000"/>
  </r>
  <r>
    <s v="ORD-1990"/>
    <x v="88"/>
    <x v="14"/>
    <x v="12"/>
    <x v="7"/>
    <s v="S"/>
    <n v="1"/>
    <n v="295000"/>
    <n v="0"/>
    <x v="0"/>
    <n v="295000"/>
  </r>
  <r>
    <s v="ORD-1171"/>
    <x v="185"/>
    <x v="27"/>
    <x v="19"/>
    <x v="0"/>
    <s v="L"/>
    <n v="2"/>
    <n v="440000"/>
    <n v="0"/>
    <x v="1"/>
    <n v="880000"/>
  </r>
  <r>
    <s v="ORD-1217"/>
    <x v="17"/>
    <x v="28"/>
    <x v="20"/>
    <x v="10"/>
    <s v="M"/>
    <n v="1"/>
    <n v="228000"/>
    <n v="15"/>
    <x v="0"/>
    <n v="193800"/>
  </r>
  <r>
    <s v="ORD-2184"/>
    <x v="301"/>
    <x v="30"/>
    <x v="16"/>
    <x v="0"/>
    <s v="Unknown"/>
    <n v="2"/>
    <n v="430000"/>
    <n v="15"/>
    <x v="3"/>
    <n v="731000"/>
  </r>
  <r>
    <s v="ORD-1591"/>
    <x v="54"/>
    <x v="7"/>
    <x v="6"/>
    <x v="5"/>
    <s v="M"/>
    <n v="1"/>
    <n v="320000"/>
    <n v="0"/>
    <x v="1"/>
    <n v="320000"/>
  </r>
  <r>
    <s v="ORD-1728"/>
    <x v="40"/>
    <x v="24"/>
    <x v="17"/>
    <x v="3"/>
    <s v="M"/>
    <n v="2"/>
    <n v="210000"/>
    <n v="0"/>
    <x v="1"/>
    <n v="420000"/>
  </r>
  <r>
    <s v="ORD-2155"/>
    <x v="220"/>
    <x v="6"/>
    <x v="5"/>
    <x v="4"/>
    <s v="M"/>
    <n v="1"/>
    <n v="198000"/>
    <n v="0"/>
    <x v="3"/>
    <n v="198000"/>
  </r>
  <r>
    <s v="ORD-1885"/>
    <x v="302"/>
    <x v="21"/>
    <x v="8"/>
    <x v="3"/>
    <s v="L"/>
    <n v="3"/>
    <n v="220000"/>
    <n v="0"/>
    <x v="0"/>
    <n v="660000"/>
  </r>
  <r>
    <s v="ORD-1529"/>
    <x v="202"/>
    <x v="35"/>
    <x v="13"/>
    <x v="8"/>
    <s v="M"/>
    <n v="3"/>
    <n v="395000"/>
    <n v="0"/>
    <x v="1"/>
    <n v="1185000"/>
  </r>
  <r>
    <s v="ORD-1872"/>
    <x v="110"/>
    <x v="4"/>
    <x v="3"/>
    <x v="3"/>
    <s v="Unknown"/>
    <n v="2"/>
    <n v="210000"/>
    <n v="0"/>
    <x v="1"/>
    <n v="420000"/>
  </r>
  <r>
    <s v="ORD-1860"/>
    <x v="74"/>
    <x v="29"/>
    <x v="21"/>
    <x v="1"/>
    <s v="M"/>
    <n v="4"/>
    <n v="280000"/>
    <n v="10"/>
    <x v="3"/>
    <n v="1008000"/>
  </r>
  <r>
    <s v="ORD-1580"/>
    <x v="265"/>
    <x v="29"/>
    <x v="21"/>
    <x v="1"/>
    <s v="M"/>
    <n v="4"/>
    <n v="280000"/>
    <n v="0"/>
    <x v="0"/>
    <n v="1120000"/>
  </r>
  <r>
    <s v="ORD-2178"/>
    <x v="9"/>
    <x v="13"/>
    <x v="11"/>
    <x v="1"/>
    <s v="S"/>
    <n v="1"/>
    <n v="260000"/>
    <n v="20"/>
    <x v="1"/>
    <n v="208000"/>
  </r>
  <r>
    <s v="ORD-2056"/>
    <x v="227"/>
    <x v="8"/>
    <x v="7"/>
    <x v="3"/>
    <s v="L"/>
    <n v="1"/>
    <n v="235000"/>
    <n v="0"/>
    <x v="2"/>
    <n v="235000"/>
  </r>
  <r>
    <s v="ORD-2064"/>
    <x v="50"/>
    <x v="19"/>
    <x v="0"/>
    <x v="0"/>
    <s v="S"/>
    <n v="1"/>
    <n v="420000"/>
    <n v="0"/>
    <x v="1"/>
    <n v="420000"/>
  </r>
  <r>
    <s v="ORD-1511"/>
    <x v="246"/>
    <x v="25"/>
    <x v="10"/>
    <x v="6"/>
    <s v="M"/>
    <n v="2"/>
    <n v="105000"/>
    <n v="10"/>
    <x v="1"/>
    <n v="189000"/>
  </r>
  <r>
    <s v="ORD-1562"/>
    <x v="50"/>
    <x v="20"/>
    <x v="14"/>
    <x v="0"/>
    <s v="Unknown"/>
    <n v="1"/>
    <n v="425000"/>
    <n v="10"/>
    <x v="0"/>
    <n v="382500"/>
  </r>
  <r>
    <s v="ORD-1675"/>
    <x v="194"/>
    <x v="30"/>
    <x v="16"/>
    <x v="0"/>
    <s v="S"/>
    <n v="1"/>
    <n v="430000"/>
    <n v="0"/>
    <x v="1"/>
    <n v="430000"/>
  </r>
  <r>
    <s v="ORD-1661"/>
    <x v="19"/>
    <x v="27"/>
    <x v="19"/>
    <x v="0"/>
    <s v="L"/>
    <n v="1"/>
    <n v="440000"/>
    <n v="0"/>
    <x v="0"/>
    <n v="440000"/>
  </r>
  <r>
    <s v="ORD-1115"/>
    <x v="303"/>
    <x v="18"/>
    <x v="13"/>
    <x v="8"/>
    <s v="L"/>
    <n v="2"/>
    <n v="395000"/>
    <n v="0"/>
    <x v="2"/>
    <n v="790000"/>
  </r>
  <r>
    <s v="ORD-1154"/>
    <x v="26"/>
    <x v="29"/>
    <x v="21"/>
    <x v="1"/>
    <s v="M"/>
    <n v="2"/>
    <n v="280000"/>
    <n v="0"/>
    <x v="2"/>
    <n v="560000"/>
  </r>
  <r>
    <s v="ORD-1105"/>
    <x v="304"/>
    <x v="35"/>
    <x v="13"/>
    <x v="8"/>
    <s v="M"/>
    <n v="5"/>
    <n v="395000"/>
    <n v="0"/>
    <x v="1"/>
    <n v="1975000"/>
  </r>
  <r>
    <s v="ORD-2083"/>
    <x v="305"/>
    <x v="13"/>
    <x v="11"/>
    <x v="1"/>
    <s v="S"/>
    <n v="3"/>
    <n v="260000"/>
    <n v="0"/>
    <x v="2"/>
    <n v="780000"/>
  </r>
  <r>
    <s v="ORD-1243"/>
    <x v="27"/>
    <x v="29"/>
    <x v="21"/>
    <x v="1"/>
    <s v="M"/>
    <n v="2"/>
    <n v="280000"/>
    <n v="0"/>
    <x v="0"/>
    <n v="560000"/>
  </r>
  <r>
    <s v="ORD-1241"/>
    <x v="27"/>
    <x v="39"/>
    <x v="19"/>
    <x v="0"/>
    <s v="M"/>
    <n v="1"/>
    <n v="440000"/>
    <n v="0"/>
    <x v="2"/>
    <n v="440000"/>
  </r>
  <r>
    <s v="ORD-1533"/>
    <x v="127"/>
    <x v="19"/>
    <x v="0"/>
    <x v="0"/>
    <s v="S"/>
    <n v="4"/>
    <n v="420000"/>
    <n v="0"/>
    <x v="0"/>
    <n v="1680000"/>
  </r>
  <r>
    <s v="ORD-1166"/>
    <x v="186"/>
    <x v="7"/>
    <x v="6"/>
    <x v="5"/>
    <s v="M"/>
    <n v="1"/>
    <n v="320000"/>
    <n v="0"/>
    <x v="0"/>
    <n v="320000"/>
  </r>
  <r>
    <s v="ORD-1800"/>
    <x v="306"/>
    <x v="21"/>
    <x v="8"/>
    <x v="3"/>
    <s v="L"/>
    <n v="1"/>
    <n v="220000"/>
    <n v="10"/>
    <x v="0"/>
    <n v="198000"/>
  </r>
  <r>
    <s v="ORD-1606"/>
    <x v="307"/>
    <x v="35"/>
    <x v="13"/>
    <x v="8"/>
    <s v="M"/>
    <n v="-1"/>
    <n v="395000"/>
    <n v="5"/>
    <x v="0"/>
    <n v="-375250"/>
  </r>
  <r>
    <s v="ORD-1664"/>
    <x v="15"/>
    <x v="24"/>
    <x v="17"/>
    <x v="3"/>
    <s v="M"/>
    <n v="4"/>
    <n v="210000"/>
    <n v="0"/>
    <x v="3"/>
    <n v="840000"/>
  </r>
  <r>
    <s v="ORD-2143"/>
    <x v="87"/>
    <x v="33"/>
    <x v="22"/>
    <x v="7"/>
    <s v="M"/>
    <n v="1"/>
    <n v="330000"/>
    <n v="0"/>
    <x v="0"/>
    <n v="330000"/>
  </r>
  <r>
    <s v="ORD-1208"/>
    <x v="131"/>
    <x v="39"/>
    <x v="19"/>
    <x v="0"/>
    <s v="M"/>
    <n v="2"/>
    <n v="440000"/>
    <n v="0"/>
    <x v="0"/>
    <n v="880000"/>
  </r>
  <r>
    <s v="ORD-1135"/>
    <x v="153"/>
    <x v="1"/>
    <x v="0"/>
    <x v="0"/>
    <s v="L"/>
    <n v="3"/>
    <n v="420000"/>
    <n v="0"/>
    <x v="3"/>
    <n v="1260000"/>
  </r>
  <r>
    <s v="ORD-2005"/>
    <x v="85"/>
    <x v="0"/>
    <x v="0"/>
    <x v="0"/>
    <s v="M"/>
    <n v="1"/>
    <n v="420000"/>
    <n v="0"/>
    <x v="0"/>
    <n v="420000"/>
  </r>
  <r>
    <s v="ORD-1179"/>
    <x v="255"/>
    <x v="18"/>
    <x v="13"/>
    <x v="8"/>
    <s v="L"/>
    <n v="1"/>
    <n v="395000"/>
    <n v="0"/>
    <x v="1"/>
    <n v="395000"/>
  </r>
  <r>
    <s v="ORD-1258"/>
    <x v="308"/>
    <x v="35"/>
    <x v="13"/>
    <x v="8"/>
    <s v="M"/>
    <n v="1"/>
    <n v="395000"/>
    <n v="5"/>
    <x v="1"/>
    <n v="375250"/>
  </r>
  <r>
    <s v="ORD-1727"/>
    <x v="198"/>
    <x v="39"/>
    <x v="19"/>
    <x v="0"/>
    <s v="M"/>
    <n v="4"/>
    <n v="440000"/>
    <n v="0"/>
    <x v="1"/>
    <n v="1760000"/>
  </r>
  <r>
    <s v="ORD-1390"/>
    <x v="18"/>
    <x v="32"/>
    <x v="11"/>
    <x v="1"/>
    <s v="Unknown"/>
    <n v="1"/>
    <n v="260000"/>
    <n v="0"/>
    <x v="3"/>
    <n v="260000"/>
  </r>
  <r>
    <s v="ORD-1765"/>
    <x v="203"/>
    <x v="36"/>
    <x v="9"/>
    <x v="4"/>
    <s v="S"/>
    <n v="4"/>
    <n v="195000"/>
    <n v="0"/>
    <x v="4"/>
    <n v="780000"/>
  </r>
  <r>
    <s v="ORD-1553"/>
    <x v="76"/>
    <x v="35"/>
    <x v="13"/>
    <x v="8"/>
    <s v="M"/>
    <n v="1"/>
    <n v="395000"/>
    <n v="0"/>
    <x v="3"/>
    <n v="395000"/>
  </r>
  <r>
    <s v="ORD-1612"/>
    <x v="125"/>
    <x v="15"/>
    <x v="6"/>
    <x v="5"/>
    <s v="L"/>
    <n v="3"/>
    <n v="320000"/>
    <n v="0"/>
    <x v="0"/>
    <n v="960000"/>
  </r>
  <r>
    <s v="ORD-1746"/>
    <x v="309"/>
    <x v="13"/>
    <x v="11"/>
    <x v="1"/>
    <s v="S"/>
    <n v="1"/>
    <n v="260000"/>
    <n v="0"/>
    <x v="1"/>
    <n v="260000"/>
  </r>
  <r>
    <s v="ORD-2183"/>
    <x v="283"/>
    <x v="38"/>
    <x v="15"/>
    <x v="9"/>
    <s v="S"/>
    <n v="1"/>
    <n v="170000"/>
    <n v="0"/>
    <x v="0"/>
    <n v="170000"/>
  </r>
  <r>
    <s v="ORD-1037"/>
    <x v="263"/>
    <x v="16"/>
    <x v="12"/>
    <x v="7"/>
    <s v="M"/>
    <n v="1"/>
    <n v="295000"/>
    <n v="0"/>
    <x v="1"/>
    <n v="295000"/>
  </r>
  <r>
    <s v="ORD-2015"/>
    <x v="51"/>
    <x v="13"/>
    <x v="11"/>
    <x v="1"/>
    <s v="S"/>
    <n v="5"/>
    <n v="260000"/>
    <n v="0"/>
    <x v="0"/>
    <n v="1300000"/>
  </r>
  <r>
    <s v="ORD-1385"/>
    <x v="200"/>
    <x v="4"/>
    <x v="3"/>
    <x v="3"/>
    <s v="M"/>
    <n v="3"/>
    <n v="210000"/>
    <n v="5"/>
    <x v="1"/>
    <n v="598500"/>
  </r>
  <r>
    <s v="ORD-2011"/>
    <x v="59"/>
    <x v="26"/>
    <x v="18"/>
    <x v="7"/>
    <s v="M"/>
    <n v="2"/>
    <n v="335000"/>
    <n v="0"/>
    <x v="2"/>
    <n v="670000"/>
  </r>
  <r>
    <s v="ORD-1140"/>
    <x v="264"/>
    <x v="25"/>
    <x v="10"/>
    <x v="6"/>
    <s v="M"/>
    <n v="2"/>
    <n v="105000"/>
    <n v="0"/>
    <x v="0"/>
    <n v="210000"/>
  </r>
  <r>
    <s v="ORD-1697"/>
    <x v="245"/>
    <x v="0"/>
    <x v="0"/>
    <x v="0"/>
    <s v="Unknown"/>
    <n v="3"/>
    <n v="420000"/>
    <n v="0"/>
    <x v="1"/>
    <n v="1260000"/>
  </r>
  <r>
    <s v="ORD-1460"/>
    <x v="110"/>
    <x v="16"/>
    <x v="12"/>
    <x v="7"/>
    <s v="M"/>
    <n v="1"/>
    <n v="295000"/>
    <n v="0"/>
    <x v="4"/>
    <n v="295000"/>
  </r>
  <r>
    <s v="ORD-1280"/>
    <x v="214"/>
    <x v="22"/>
    <x v="15"/>
    <x v="9"/>
    <s v="M"/>
    <n v="1"/>
    <n v="170000"/>
    <n v="0"/>
    <x v="3"/>
    <n v="170000"/>
  </r>
  <r>
    <s v="ORD-1107"/>
    <x v="25"/>
    <x v="1"/>
    <x v="0"/>
    <x v="0"/>
    <s v="L"/>
    <n v="1"/>
    <n v="420000"/>
    <n v="15"/>
    <x v="2"/>
    <n v="357000"/>
  </r>
  <r>
    <s v="ORD-1490"/>
    <x v="64"/>
    <x v="10"/>
    <x v="8"/>
    <x v="3"/>
    <s v="S"/>
    <n v="1"/>
    <n v="220000"/>
    <n v="0"/>
    <x v="4"/>
    <n v="220000"/>
  </r>
  <r>
    <s v="ORD-1136"/>
    <x v="248"/>
    <x v="12"/>
    <x v="10"/>
    <x v="6"/>
    <s v="S"/>
    <n v="4"/>
    <n v="105000"/>
    <n v="10"/>
    <x v="0"/>
    <n v="378000"/>
  </r>
  <r>
    <s v="ORD-2182"/>
    <x v="241"/>
    <x v="6"/>
    <x v="5"/>
    <x v="4"/>
    <s v="M"/>
    <n v="3"/>
    <n v="198000"/>
    <n v="15"/>
    <x v="0"/>
    <n v="504900"/>
  </r>
  <r>
    <s v="ORD-2105"/>
    <x v="284"/>
    <x v="28"/>
    <x v="20"/>
    <x v="10"/>
    <s v="M"/>
    <n v="3"/>
    <n v="228000"/>
    <n v="0"/>
    <x v="3"/>
    <n v="684000"/>
  </r>
  <r>
    <s v="ORD-1492"/>
    <x v="310"/>
    <x v="27"/>
    <x v="19"/>
    <x v="0"/>
    <s v="L"/>
    <n v="1"/>
    <n v="440000"/>
    <n v="0"/>
    <x v="4"/>
    <n v="440000"/>
  </r>
  <r>
    <s v="ORD-1322"/>
    <x v="55"/>
    <x v="12"/>
    <x v="10"/>
    <x v="6"/>
    <s v="S"/>
    <n v="1"/>
    <n v="105000"/>
    <n v="0"/>
    <x v="4"/>
    <n v="105000"/>
  </r>
  <r>
    <s v="ORD-1313"/>
    <x v="278"/>
    <x v="25"/>
    <x v="10"/>
    <x v="6"/>
    <s v="M"/>
    <n v="1"/>
    <n v="105000"/>
    <n v="0"/>
    <x v="1"/>
    <n v="105000"/>
  </r>
  <r>
    <s v="ORD-1927"/>
    <x v="160"/>
    <x v="31"/>
    <x v="10"/>
    <x v="6"/>
    <s v="L"/>
    <n v="1"/>
    <n v="105000"/>
    <n v="0"/>
    <x v="0"/>
    <n v="105000"/>
  </r>
  <r>
    <s v="ORD-1613"/>
    <x v="48"/>
    <x v="12"/>
    <x v="10"/>
    <x v="6"/>
    <s v="S"/>
    <n v="2"/>
    <n v="105000"/>
    <n v="0"/>
    <x v="1"/>
    <n v="210000"/>
  </r>
  <r>
    <s v="ORD-1707"/>
    <x v="311"/>
    <x v="12"/>
    <x v="10"/>
    <x v="6"/>
    <s v="S"/>
    <n v="4"/>
    <n v="105000"/>
    <n v="0"/>
    <x v="0"/>
    <n v="420000"/>
  </r>
  <r>
    <s v="ORD-2151"/>
    <x v="249"/>
    <x v="30"/>
    <x v="16"/>
    <x v="0"/>
    <s v="S"/>
    <n v="2"/>
    <n v="430000"/>
    <n v="0"/>
    <x v="0"/>
    <n v="860000"/>
  </r>
  <r>
    <s v="ORD-1158"/>
    <x v="78"/>
    <x v="3"/>
    <x v="2"/>
    <x v="2"/>
    <s v="M"/>
    <n v="1"/>
    <n v="182000"/>
    <n v="5"/>
    <x v="1"/>
    <n v="172900"/>
  </r>
  <r>
    <s v="ORD-2067"/>
    <x v="286"/>
    <x v="17"/>
    <x v="4"/>
    <x v="3"/>
    <s v="M"/>
    <n v="4"/>
    <n v="215000"/>
    <n v="0"/>
    <x v="1"/>
    <n v="860000"/>
  </r>
  <r>
    <s v="ORD-1877"/>
    <x v="177"/>
    <x v="39"/>
    <x v="19"/>
    <x v="0"/>
    <s v="M"/>
    <n v="1"/>
    <n v="440000"/>
    <n v="10"/>
    <x v="2"/>
    <n v="396000"/>
  </r>
  <r>
    <s v="ORD-1540"/>
    <x v="13"/>
    <x v="3"/>
    <x v="2"/>
    <x v="2"/>
    <s v="M"/>
    <n v="2"/>
    <n v="182000"/>
    <n v="0"/>
    <x v="1"/>
    <n v="364000"/>
  </r>
  <r>
    <s v="ORD-2147"/>
    <x v="274"/>
    <x v="3"/>
    <x v="2"/>
    <x v="2"/>
    <s v="M"/>
    <n v="1"/>
    <n v="182000"/>
    <n v="15"/>
    <x v="3"/>
    <n v="154700"/>
  </r>
  <r>
    <s v="ORD-1874"/>
    <x v="170"/>
    <x v="5"/>
    <x v="4"/>
    <x v="3"/>
    <s v="L"/>
    <n v="3"/>
    <n v="215000"/>
    <n v="15"/>
    <x v="1"/>
    <n v="548250"/>
  </r>
  <r>
    <s v="ORD-1593"/>
    <x v="209"/>
    <x v="9"/>
    <x v="7"/>
    <x v="3"/>
    <s v="M"/>
    <n v="1"/>
    <n v="235000"/>
    <n v="0"/>
    <x v="4"/>
    <n v="235000"/>
  </r>
  <r>
    <s v="ORD-1581"/>
    <x v="104"/>
    <x v="9"/>
    <x v="7"/>
    <x v="3"/>
    <s v="M"/>
    <n v="1"/>
    <n v="235000"/>
    <n v="0"/>
    <x v="0"/>
    <n v="235000"/>
  </r>
  <r>
    <s v="ORD-1637"/>
    <x v="108"/>
    <x v="33"/>
    <x v="22"/>
    <x v="7"/>
    <s v="M"/>
    <n v="4"/>
    <n v="330000"/>
    <n v="0"/>
    <x v="1"/>
    <n v="1320000"/>
  </r>
  <r>
    <s v="ORD-1911"/>
    <x v="166"/>
    <x v="16"/>
    <x v="12"/>
    <x v="7"/>
    <s v="M"/>
    <n v="3"/>
    <n v="295000"/>
    <n v="0"/>
    <x v="3"/>
    <n v="885000"/>
  </r>
  <r>
    <s v="ORD-1752"/>
    <x v="312"/>
    <x v="33"/>
    <x v="22"/>
    <x v="7"/>
    <s v="Unknown"/>
    <n v="2"/>
    <n v="330000"/>
    <n v="0"/>
    <x v="3"/>
    <n v="660000"/>
  </r>
  <r>
    <s v="ORD-1940"/>
    <x v="313"/>
    <x v="2"/>
    <x v="1"/>
    <x v="1"/>
    <s v="M"/>
    <n v="5"/>
    <n v="265000"/>
    <n v="0"/>
    <x v="2"/>
    <n v="1325000"/>
  </r>
  <r>
    <s v="ORD-1917"/>
    <x v="20"/>
    <x v="5"/>
    <x v="4"/>
    <x v="3"/>
    <s v="L"/>
    <n v="1"/>
    <n v="215000"/>
    <n v="0"/>
    <x v="3"/>
    <n v="215000"/>
  </r>
  <r>
    <s v="ORD-1676"/>
    <x v="144"/>
    <x v="34"/>
    <x v="23"/>
    <x v="7"/>
    <s v="M"/>
    <n v="2"/>
    <n v="305000"/>
    <n v="0"/>
    <x v="3"/>
    <n v="610000"/>
  </r>
  <r>
    <s v="ORD-1524"/>
    <x v="21"/>
    <x v="1"/>
    <x v="0"/>
    <x v="0"/>
    <s v="L"/>
    <n v="1"/>
    <n v="420000"/>
    <n v="0"/>
    <x v="0"/>
    <n v="420000"/>
  </r>
  <r>
    <s v="ORD-1057"/>
    <x v="28"/>
    <x v="20"/>
    <x v="14"/>
    <x v="0"/>
    <s v="M"/>
    <n v="1"/>
    <n v="425000"/>
    <n v="0"/>
    <x v="2"/>
    <n v="425000"/>
  </r>
  <r>
    <s v="ORD-1467"/>
    <x v="305"/>
    <x v="7"/>
    <x v="6"/>
    <x v="5"/>
    <s v="M"/>
    <n v="1"/>
    <n v="320000"/>
    <n v="0"/>
    <x v="0"/>
    <n v="320000"/>
  </r>
  <r>
    <s v="ORD-1549"/>
    <x v="92"/>
    <x v="0"/>
    <x v="0"/>
    <x v="0"/>
    <s v="M"/>
    <n v="4"/>
    <n v="420000"/>
    <n v="0"/>
    <x v="3"/>
    <n v="1680000"/>
  </r>
  <r>
    <s v="ORD-1150"/>
    <x v="250"/>
    <x v="25"/>
    <x v="10"/>
    <x v="6"/>
    <s v="M"/>
    <n v="1"/>
    <n v="105000"/>
    <n v="0"/>
    <x v="3"/>
    <n v="105000"/>
  </r>
  <r>
    <s v="ORD-2020"/>
    <x v="176"/>
    <x v="8"/>
    <x v="7"/>
    <x v="3"/>
    <s v="L"/>
    <n v="1"/>
    <n v="235000"/>
    <n v="0"/>
    <x v="1"/>
    <n v="235000"/>
  </r>
  <r>
    <s v="ORD-1610"/>
    <x v="121"/>
    <x v="15"/>
    <x v="6"/>
    <x v="5"/>
    <s v="L"/>
    <n v="2"/>
    <n v="320000"/>
    <n v="0"/>
    <x v="0"/>
    <n v="640000"/>
  </r>
  <r>
    <s v="ORD-1659"/>
    <x v="207"/>
    <x v="8"/>
    <x v="7"/>
    <x v="3"/>
    <s v="L"/>
    <n v="1"/>
    <n v="235000"/>
    <n v="0"/>
    <x v="0"/>
    <n v="235000"/>
  </r>
  <r>
    <s v="ORD-1246"/>
    <x v="29"/>
    <x v="9"/>
    <x v="7"/>
    <x v="3"/>
    <s v="M"/>
    <n v="1"/>
    <n v="235000"/>
    <n v="0"/>
    <x v="0"/>
    <n v="235000"/>
  </r>
  <r>
    <s v="ORD-2095"/>
    <x v="200"/>
    <x v="14"/>
    <x v="12"/>
    <x v="7"/>
    <s v="S"/>
    <n v="2"/>
    <n v="295000"/>
    <n v="0"/>
    <x v="1"/>
    <n v="590000"/>
  </r>
  <r>
    <s v="ORD-1685"/>
    <x v="30"/>
    <x v="0"/>
    <x v="0"/>
    <x v="0"/>
    <s v="M"/>
    <n v="5"/>
    <n v="420000"/>
    <n v="0"/>
    <x v="1"/>
    <n v="2100000"/>
  </r>
  <r>
    <s v="ORD-1743"/>
    <x v="64"/>
    <x v="27"/>
    <x v="19"/>
    <x v="0"/>
    <s v="L"/>
    <n v="3"/>
    <n v="440000"/>
    <n v="0"/>
    <x v="1"/>
    <n v="1320000"/>
  </r>
  <r>
    <s v="ORD-1819"/>
    <x v="261"/>
    <x v="27"/>
    <x v="19"/>
    <x v="0"/>
    <s v="L"/>
    <n v="5"/>
    <n v="440000"/>
    <n v="0"/>
    <x v="1"/>
    <n v="2200000"/>
  </r>
  <r>
    <s v="ORD-1773"/>
    <x v="32"/>
    <x v="30"/>
    <x v="16"/>
    <x v="0"/>
    <s v="S"/>
    <n v="2"/>
    <n v="430000"/>
    <n v="5"/>
    <x v="1"/>
    <n v="817000"/>
  </r>
  <r>
    <s v="ORD-1666"/>
    <x v="61"/>
    <x v="19"/>
    <x v="0"/>
    <x v="0"/>
    <s v="S"/>
    <n v="1"/>
    <n v="420000"/>
    <n v="10"/>
    <x v="1"/>
    <n v="378000"/>
  </r>
  <r>
    <s v="ORD-1702"/>
    <x v="15"/>
    <x v="13"/>
    <x v="11"/>
    <x v="1"/>
    <s v="S"/>
    <n v="5"/>
    <n v="260000"/>
    <n v="0"/>
    <x v="1"/>
    <n v="1300000"/>
  </r>
  <r>
    <s v="ORD-1657"/>
    <x v="211"/>
    <x v="7"/>
    <x v="6"/>
    <x v="5"/>
    <s v="M"/>
    <n v="1"/>
    <n v="320000"/>
    <n v="0"/>
    <x v="1"/>
    <n v="320000"/>
  </r>
  <r>
    <s v="ORD-2157"/>
    <x v="0"/>
    <x v="10"/>
    <x v="8"/>
    <x v="3"/>
    <s v="S"/>
    <n v="4"/>
    <n v="220000"/>
    <n v="0"/>
    <x v="2"/>
    <n v="880000"/>
  </r>
  <r>
    <s v="ORD-2039"/>
    <x v="10"/>
    <x v="37"/>
    <x v="8"/>
    <x v="3"/>
    <s v="M"/>
    <n v="2"/>
    <n v="220000"/>
    <n v="10"/>
    <x v="0"/>
    <n v="396000"/>
  </r>
  <r>
    <s v="ORD-1565"/>
    <x v="124"/>
    <x v="18"/>
    <x v="13"/>
    <x v="8"/>
    <s v="L"/>
    <n v="1"/>
    <n v="395000"/>
    <n v="0"/>
    <x v="3"/>
    <n v="395000"/>
  </r>
  <r>
    <s v="ORD-1803"/>
    <x v="285"/>
    <x v="34"/>
    <x v="23"/>
    <x v="7"/>
    <s v="M"/>
    <n v="2"/>
    <n v="305000"/>
    <n v="20"/>
    <x v="0"/>
    <n v="488000"/>
  </r>
  <r>
    <s v="ORD-1721"/>
    <x v="136"/>
    <x v="22"/>
    <x v="15"/>
    <x v="9"/>
    <s v="M"/>
    <n v="1"/>
    <n v="170000"/>
    <n v="5"/>
    <x v="1"/>
    <n v="161500"/>
  </r>
  <r>
    <s v="ORD-2103"/>
    <x v="158"/>
    <x v="33"/>
    <x v="22"/>
    <x v="7"/>
    <s v="Unknown"/>
    <n v="2"/>
    <n v="330000"/>
    <n v="0"/>
    <x v="1"/>
    <n v="660000"/>
  </r>
  <r>
    <s v="ORD-1634"/>
    <x v="141"/>
    <x v="16"/>
    <x v="12"/>
    <x v="7"/>
    <s v="M"/>
    <n v="1"/>
    <n v="295000"/>
    <n v="0"/>
    <x v="1"/>
    <n v="295000"/>
  </r>
  <r>
    <s v="ORD-1617"/>
    <x v="202"/>
    <x v="20"/>
    <x v="14"/>
    <x v="0"/>
    <s v="M"/>
    <n v="1"/>
    <n v="425000"/>
    <n v="0"/>
    <x v="4"/>
    <n v="425000"/>
  </r>
  <r>
    <s v="ORD-1933"/>
    <x v="194"/>
    <x v="18"/>
    <x v="13"/>
    <x v="8"/>
    <s v="L"/>
    <n v="2"/>
    <n v="395000"/>
    <n v="20"/>
    <x v="1"/>
    <n v="632000"/>
  </r>
  <r>
    <s v="ORD-1067"/>
    <x v="246"/>
    <x v="10"/>
    <x v="8"/>
    <x v="3"/>
    <s v="S"/>
    <n v="1"/>
    <n v="220000"/>
    <n v="10"/>
    <x v="1"/>
    <n v="198000"/>
  </r>
  <r>
    <s v="ORD-1704"/>
    <x v="19"/>
    <x v="7"/>
    <x v="6"/>
    <x v="5"/>
    <s v="M"/>
    <n v="2"/>
    <n v="320000"/>
    <n v="0"/>
    <x v="0"/>
    <n v="640000"/>
  </r>
  <r>
    <s v="ORD-2010"/>
    <x v="166"/>
    <x v="7"/>
    <x v="6"/>
    <x v="5"/>
    <s v="M"/>
    <n v="3"/>
    <n v="320000"/>
    <n v="0"/>
    <x v="1"/>
    <n v="960000"/>
  </r>
  <r>
    <s v="ORD-1547"/>
    <x v="206"/>
    <x v="32"/>
    <x v="11"/>
    <x v="1"/>
    <s v="M"/>
    <n v="1"/>
    <n v="260000"/>
    <n v="5"/>
    <x v="1"/>
    <n v="247000"/>
  </r>
  <r>
    <s v="ORD-1936"/>
    <x v="43"/>
    <x v="25"/>
    <x v="10"/>
    <x v="6"/>
    <s v="M"/>
    <n v="1"/>
    <n v="105000"/>
    <n v="10"/>
    <x v="3"/>
    <n v="94500"/>
  </r>
  <r>
    <s v="ORD-1215"/>
    <x v="314"/>
    <x v="0"/>
    <x v="0"/>
    <x v="0"/>
    <s v="M"/>
    <n v="4"/>
    <n v="420000"/>
    <n v="0"/>
    <x v="2"/>
    <n v="1680000"/>
  </r>
  <r>
    <s v="ORD-1544"/>
    <x v="121"/>
    <x v="34"/>
    <x v="23"/>
    <x v="7"/>
    <s v="M"/>
    <n v="3"/>
    <n v="305000"/>
    <n v="0"/>
    <x v="2"/>
    <n v="915000"/>
  </r>
  <r>
    <s v="ORD-1845"/>
    <x v="72"/>
    <x v="3"/>
    <x v="2"/>
    <x v="2"/>
    <s v="M"/>
    <n v="1"/>
    <n v="182000"/>
    <n v="0"/>
    <x v="1"/>
    <n v="182000"/>
  </r>
  <r>
    <s v="ORD-1054"/>
    <x v="139"/>
    <x v="33"/>
    <x v="22"/>
    <x v="7"/>
    <s v="M"/>
    <n v="5"/>
    <n v="330000"/>
    <n v="0"/>
    <x v="1"/>
    <n v="1650000"/>
  </r>
  <r>
    <s v="ORD-1437"/>
    <x v="205"/>
    <x v="33"/>
    <x v="22"/>
    <x v="7"/>
    <s v="M"/>
    <n v="3"/>
    <n v="330000"/>
    <n v="0"/>
    <x v="1"/>
    <n v="990000"/>
  </r>
  <r>
    <s v="ORD-1268"/>
    <x v="258"/>
    <x v="8"/>
    <x v="7"/>
    <x v="3"/>
    <s v="L"/>
    <n v="2"/>
    <n v="235000"/>
    <n v="0"/>
    <x v="1"/>
    <n v="470000"/>
  </r>
  <r>
    <s v="ORD-2109"/>
    <x v="225"/>
    <x v="25"/>
    <x v="10"/>
    <x v="6"/>
    <s v="M"/>
    <n v="1"/>
    <n v="105000"/>
    <n v="0"/>
    <x v="1"/>
    <n v="105000"/>
  </r>
  <r>
    <s v="ORD-1368"/>
    <x v="315"/>
    <x v="31"/>
    <x v="10"/>
    <x v="6"/>
    <s v="L"/>
    <n v="4"/>
    <n v="105000"/>
    <n v="0"/>
    <x v="4"/>
    <n v="420000"/>
  </r>
  <r>
    <s v="ORD-1686"/>
    <x v="316"/>
    <x v="10"/>
    <x v="8"/>
    <x v="3"/>
    <s v="S"/>
    <n v="1"/>
    <n v="220000"/>
    <n v="0"/>
    <x v="2"/>
    <n v="220000"/>
  </r>
  <r>
    <s v="ORD-2044"/>
    <x v="159"/>
    <x v="29"/>
    <x v="21"/>
    <x v="1"/>
    <s v="M"/>
    <n v="2"/>
    <n v="280000"/>
    <n v="10"/>
    <x v="2"/>
    <n v="504000"/>
  </r>
  <r>
    <s v="ORD-1999"/>
    <x v="29"/>
    <x v="16"/>
    <x v="12"/>
    <x v="7"/>
    <s v="M"/>
    <n v="2"/>
    <n v="295000"/>
    <n v="0"/>
    <x v="1"/>
    <n v="590000"/>
  </r>
  <r>
    <s v="ORD-1285"/>
    <x v="102"/>
    <x v="0"/>
    <x v="0"/>
    <x v="0"/>
    <s v="M"/>
    <n v="1"/>
    <n v="420000"/>
    <n v="0"/>
    <x v="1"/>
    <n v="420000"/>
  </r>
  <r>
    <s v="ORD-1176"/>
    <x v="260"/>
    <x v="13"/>
    <x v="11"/>
    <x v="1"/>
    <s v="S"/>
    <n v="3"/>
    <n v="260000"/>
    <n v="0"/>
    <x v="1"/>
    <n v="780000"/>
  </r>
  <r>
    <s v="ORD-1353"/>
    <x v="66"/>
    <x v="31"/>
    <x v="10"/>
    <x v="6"/>
    <s v="L"/>
    <n v="1"/>
    <n v="105000"/>
    <n v="0"/>
    <x v="3"/>
    <n v="105000"/>
  </r>
  <r>
    <s v="ORD-1435"/>
    <x v="240"/>
    <x v="29"/>
    <x v="21"/>
    <x v="1"/>
    <s v="M"/>
    <n v="3"/>
    <n v="280000"/>
    <n v="5"/>
    <x v="0"/>
    <n v="798000"/>
  </r>
  <r>
    <s v="ORD-2170"/>
    <x v="266"/>
    <x v="24"/>
    <x v="17"/>
    <x v="3"/>
    <s v="M"/>
    <n v="4"/>
    <n v="210000"/>
    <n v="0"/>
    <x v="1"/>
    <n v="840000"/>
  </r>
  <r>
    <s v="ORD-1924"/>
    <x v="56"/>
    <x v="14"/>
    <x v="12"/>
    <x v="7"/>
    <s v="S"/>
    <n v="1"/>
    <n v="295000"/>
    <n v="0"/>
    <x v="1"/>
    <n v="295000"/>
  </r>
  <r>
    <s v="ORD-1526"/>
    <x v="58"/>
    <x v="5"/>
    <x v="4"/>
    <x v="3"/>
    <s v="L"/>
    <n v="3"/>
    <n v="215000"/>
    <n v="0"/>
    <x v="4"/>
    <n v="645000"/>
  </r>
  <r>
    <s v="ORD-1293"/>
    <x v="154"/>
    <x v="23"/>
    <x v="16"/>
    <x v="0"/>
    <s v="M"/>
    <n v="-2"/>
    <n v="430000"/>
    <n v="0"/>
    <x v="0"/>
    <n v="-860000"/>
  </r>
  <r>
    <s v="ORD-1517"/>
    <x v="11"/>
    <x v="16"/>
    <x v="12"/>
    <x v="7"/>
    <s v="M"/>
    <n v="4"/>
    <n v="295000"/>
    <n v="0"/>
    <x v="0"/>
    <n v="1180000"/>
  </r>
  <r>
    <s v="ORD-1485"/>
    <x v="66"/>
    <x v="16"/>
    <x v="12"/>
    <x v="7"/>
    <s v="M"/>
    <n v="2"/>
    <n v="295000"/>
    <n v="0"/>
    <x v="0"/>
    <n v="590000"/>
  </r>
  <r>
    <s v="ORD-1451"/>
    <x v="237"/>
    <x v="27"/>
    <x v="19"/>
    <x v="0"/>
    <s v="L"/>
    <n v="2"/>
    <n v="440000"/>
    <n v="0"/>
    <x v="0"/>
    <n v="880000"/>
  </r>
  <r>
    <s v="ORD-1405"/>
    <x v="189"/>
    <x v="19"/>
    <x v="0"/>
    <x v="0"/>
    <s v="S"/>
    <n v="3"/>
    <n v="420000"/>
    <n v="0"/>
    <x v="2"/>
    <n v="1260000"/>
  </r>
  <r>
    <s v="ORD-1732"/>
    <x v="82"/>
    <x v="17"/>
    <x v="4"/>
    <x v="3"/>
    <s v="M"/>
    <n v="1"/>
    <n v="215000"/>
    <n v="0"/>
    <x v="2"/>
    <n v="215000"/>
  </r>
  <r>
    <s v="ORD-1070"/>
    <x v="1"/>
    <x v="25"/>
    <x v="10"/>
    <x v="6"/>
    <s v="M"/>
    <n v="1"/>
    <n v="105000"/>
    <n v="0"/>
    <x v="1"/>
    <n v="105000"/>
  </r>
  <r>
    <s v="ORD-1527"/>
    <x v="70"/>
    <x v="32"/>
    <x v="11"/>
    <x v="1"/>
    <s v="M"/>
    <n v="1"/>
    <n v="260000"/>
    <n v="15"/>
    <x v="3"/>
    <n v="221000"/>
  </r>
  <r>
    <s v="ORD-1106"/>
    <x v="86"/>
    <x v="39"/>
    <x v="19"/>
    <x v="0"/>
    <s v="M"/>
    <n v="2"/>
    <n v="440000"/>
    <n v="10"/>
    <x v="3"/>
    <n v="792000"/>
  </r>
  <r>
    <s v="ORD-1758"/>
    <x v="317"/>
    <x v="35"/>
    <x v="13"/>
    <x v="8"/>
    <s v="M"/>
    <n v="3"/>
    <n v="395000"/>
    <n v="0"/>
    <x v="1"/>
    <n v="1185000"/>
  </r>
  <r>
    <s v="ORD-1649"/>
    <x v="204"/>
    <x v="17"/>
    <x v="4"/>
    <x v="3"/>
    <s v="M"/>
    <n v="2"/>
    <n v="215000"/>
    <n v="10"/>
    <x v="0"/>
    <n v="387000"/>
  </r>
  <r>
    <s v="ORD-1806"/>
    <x v="124"/>
    <x v="3"/>
    <x v="2"/>
    <x v="2"/>
    <s v="Unknown"/>
    <n v="2"/>
    <n v="182000"/>
    <n v="5"/>
    <x v="0"/>
    <n v="345800"/>
  </r>
  <r>
    <s v="ORD-1716"/>
    <x v="93"/>
    <x v="11"/>
    <x v="9"/>
    <x v="4"/>
    <s v="M"/>
    <n v="1"/>
    <n v="195000"/>
    <n v="0"/>
    <x v="0"/>
    <n v="195000"/>
  </r>
  <r>
    <s v="ORD-2141"/>
    <x v="65"/>
    <x v="39"/>
    <x v="19"/>
    <x v="0"/>
    <s v="Unknown"/>
    <n v="2"/>
    <n v="440000"/>
    <n v="15"/>
    <x v="1"/>
    <n v="748000"/>
  </r>
  <r>
    <s v="ORD-1878"/>
    <x v="243"/>
    <x v="3"/>
    <x v="2"/>
    <x v="2"/>
    <s v="M"/>
    <n v="3"/>
    <n v="182000"/>
    <n v="0"/>
    <x v="2"/>
    <n v="546000"/>
  </r>
  <r>
    <s v="ORD-1036"/>
    <x v="250"/>
    <x v="16"/>
    <x v="12"/>
    <x v="7"/>
    <s v="M"/>
    <n v="1"/>
    <n v="295000"/>
    <n v="0"/>
    <x v="0"/>
    <n v="295000"/>
  </r>
  <r>
    <s v="ORD-1930"/>
    <x v="113"/>
    <x v="25"/>
    <x v="10"/>
    <x v="6"/>
    <s v="M"/>
    <n v="5"/>
    <n v="105000"/>
    <n v="0"/>
    <x v="0"/>
    <n v="525000"/>
  </r>
  <r>
    <s v="ORD-1998"/>
    <x v="142"/>
    <x v="35"/>
    <x v="13"/>
    <x v="8"/>
    <s v="M"/>
    <n v="1"/>
    <n v="395000"/>
    <n v="0"/>
    <x v="1"/>
    <n v="395000"/>
  </r>
  <r>
    <s v="ORD-1908"/>
    <x v="187"/>
    <x v="21"/>
    <x v="8"/>
    <x v="3"/>
    <s v="L"/>
    <n v="4"/>
    <n v="220000"/>
    <n v="0"/>
    <x v="3"/>
    <n v="880000"/>
  </r>
  <r>
    <s v="ORD-1868"/>
    <x v="147"/>
    <x v="0"/>
    <x v="0"/>
    <x v="0"/>
    <s v="M"/>
    <n v="1"/>
    <n v="420000"/>
    <n v="0"/>
    <x v="4"/>
    <n v="420000"/>
  </r>
  <r>
    <s v="ORD-1338"/>
    <x v="265"/>
    <x v="20"/>
    <x v="14"/>
    <x v="0"/>
    <s v="M"/>
    <n v="5"/>
    <n v="425000"/>
    <n v="0"/>
    <x v="1"/>
    <n v="2125000"/>
  </r>
  <r>
    <s v="ORD-1234"/>
    <x v="61"/>
    <x v="22"/>
    <x v="15"/>
    <x v="9"/>
    <s v="M"/>
    <n v="2"/>
    <n v="170000"/>
    <n v="0"/>
    <x v="0"/>
    <n v="340000"/>
  </r>
  <r>
    <s v="ORD-2199"/>
    <x v="84"/>
    <x v="37"/>
    <x v="8"/>
    <x v="3"/>
    <s v="M"/>
    <n v="1"/>
    <n v="220000"/>
    <n v="10"/>
    <x v="3"/>
    <n v="198000"/>
  </r>
  <r>
    <s v="ORD-1273"/>
    <x v="96"/>
    <x v="23"/>
    <x v="16"/>
    <x v="0"/>
    <s v="M"/>
    <n v="1"/>
    <n v="430000"/>
    <n v="5"/>
    <x v="2"/>
    <n v="408500"/>
  </r>
  <r>
    <s v="ORD-1148"/>
    <x v="43"/>
    <x v="28"/>
    <x v="20"/>
    <x v="10"/>
    <s v="M"/>
    <n v="1"/>
    <n v="228000"/>
    <n v="0"/>
    <x v="2"/>
    <n v="228000"/>
  </r>
  <r>
    <s v="ORD-1849"/>
    <x v="27"/>
    <x v="8"/>
    <x v="7"/>
    <x v="3"/>
    <s v="L"/>
    <n v="3"/>
    <n v="235000"/>
    <n v="0"/>
    <x v="1"/>
    <n v="705000"/>
  </r>
  <r>
    <s v="ORD-2014"/>
    <x v="318"/>
    <x v="24"/>
    <x v="17"/>
    <x v="3"/>
    <s v="M"/>
    <n v="3"/>
    <n v="210000"/>
    <n v="5"/>
    <x v="3"/>
    <n v="598500"/>
  </r>
  <r>
    <s v="ORD-1558"/>
    <x v="53"/>
    <x v="32"/>
    <x v="11"/>
    <x v="1"/>
    <s v="M"/>
    <n v="1"/>
    <n v="260000"/>
    <n v="0"/>
    <x v="2"/>
    <n v="260000"/>
  </r>
  <r>
    <s v="ORD-1736"/>
    <x v="319"/>
    <x v="31"/>
    <x v="10"/>
    <x v="6"/>
    <s v="Unknown"/>
    <n v="4"/>
    <n v="105000"/>
    <n v="0"/>
    <x v="0"/>
    <n v="420000"/>
  </r>
  <r>
    <s v="ORD-2013"/>
    <x v="18"/>
    <x v="1"/>
    <x v="0"/>
    <x v="0"/>
    <s v="L"/>
    <n v="5"/>
    <n v="420000"/>
    <n v="10"/>
    <x v="1"/>
    <n v="1890000"/>
  </r>
  <r>
    <s v="ORD-1235"/>
    <x v="126"/>
    <x v="26"/>
    <x v="18"/>
    <x v="7"/>
    <s v="M"/>
    <n v="4"/>
    <n v="335000"/>
    <n v="0"/>
    <x v="0"/>
    <n v="1340000"/>
  </r>
  <r>
    <s v="ORD-2060"/>
    <x v="219"/>
    <x v="28"/>
    <x v="20"/>
    <x v="10"/>
    <s v="M"/>
    <n v="1"/>
    <n v="228000"/>
    <n v="0"/>
    <x v="1"/>
    <n v="228000"/>
  </r>
  <r>
    <s v="ORD-1623"/>
    <x v="162"/>
    <x v="2"/>
    <x v="1"/>
    <x v="1"/>
    <s v="M"/>
    <n v="1"/>
    <n v="265000"/>
    <n v="0"/>
    <x v="3"/>
    <n v="265000"/>
  </r>
  <r>
    <s v="ORD-1395"/>
    <x v="32"/>
    <x v="24"/>
    <x v="17"/>
    <x v="3"/>
    <s v="M"/>
    <n v="3"/>
    <n v="210000"/>
    <n v="0"/>
    <x v="3"/>
    <n v="630000"/>
  </r>
  <r>
    <s v="ORD-1033"/>
    <x v="177"/>
    <x v="35"/>
    <x v="13"/>
    <x v="8"/>
    <s v="M"/>
    <n v="1"/>
    <n v="395000"/>
    <n v="0"/>
    <x v="1"/>
    <n v="395000"/>
  </r>
  <r>
    <s v="ORD-1199"/>
    <x v="4"/>
    <x v="2"/>
    <x v="1"/>
    <x v="1"/>
    <s v="Unknown"/>
    <n v="3"/>
    <n v="265000"/>
    <n v="0"/>
    <x v="0"/>
    <n v="795000"/>
  </r>
  <r>
    <s v="ORD-1650"/>
    <x v="35"/>
    <x v="5"/>
    <x v="4"/>
    <x v="3"/>
    <s v="L"/>
    <n v="1"/>
    <n v="215000"/>
    <n v="15"/>
    <x v="1"/>
    <n v="182750"/>
  </r>
  <r>
    <s v="ORD-1931"/>
    <x v="86"/>
    <x v="0"/>
    <x v="0"/>
    <x v="0"/>
    <s v="M"/>
    <n v="1"/>
    <n v="420000"/>
    <n v="0"/>
    <x v="2"/>
    <n v="420000"/>
  </r>
  <r>
    <s v="ORD-2045"/>
    <x v="320"/>
    <x v="39"/>
    <x v="19"/>
    <x v="0"/>
    <s v="M"/>
    <n v="1"/>
    <n v="440000"/>
    <n v="5"/>
    <x v="1"/>
    <n v="418000"/>
  </r>
  <r>
    <s v="ORD-2061"/>
    <x v="61"/>
    <x v="33"/>
    <x v="22"/>
    <x v="7"/>
    <s v="M"/>
    <n v="1"/>
    <n v="330000"/>
    <n v="0"/>
    <x v="0"/>
    <n v="330000"/>
  </r>
  <r>
    <s v="ORD-1042"/>
    <x v="293"/>
    <x v="12"/>
    <x v="10"/>
    <x v="6"/>
    <s v="S"/>
    <n v="1"/>
    <n v="105000"/>
    <n v="5"/>
    <x v="1"/>
    <n v="99750"/>
  </r>
  <r>
    <s v="ORD-1846"/>
    <x v="126"/>
    <x v="25"/>
    <x v="10"/>
    <x v="6"/>
    <s v="M"/>
    <n v="1"/>
    <n v="105000"/>
    <n v="20"/>
    <x v="0"/>
    <n v="84000"/>
  </r>
  <r>
    <s v="ORD-1252"/>
    <x v="95"/>
    <x v="17"/>
    <x v="4"/>
    <x v="3"/>
    <s v="M"/>
    <n v="1"/>
    <n v="215000"/>
    <n v="20"/>
    <x v="1"/>
    <n v="172000"/>
  </r>
  <r>
    <s v="ORD-1396"/>
    <x v="276"/>
    <x v="14"/>
    <x v="12"/>
    <x v="7"/>
    <s v="S"/>
    <n v="2"/>
    <n v="295000"/>
    <n v="5"/>
    <x v="0"/>
    <n v="560500"/>
  </r>
  <r>
    <s v="ORD-1802"/>
    <x v="137"/>
    <x v="29"/>
    <x v="21"/>
    <x v="1"/>
    <s v="M"/>
    <n v="1"/>
    <n v="280000"/>
    <n v="0"/>
    <x v="4"/>
    <n v="280000"/>
  </r>
  <r>
    <s v="ORD-1621"/>
    <x v="85"/>
    <x v="15"/>
    <x v="6"/>
    <x v="5"/>
    <s v="L"/>
    <n v="3"/>
    <n v="320000"/>
    <n v="0"/>
    <x v="1"/>
    <n v="960000"/>
  </r>
  <r>
    <s v="ORD-1068"/>
    <x v="14"/>
    <x v="1"/>
    <x v="0"/>
    <x v="0"/>
    <s v="L"/>
    <n v="1"/>
    <n v="420000"/>
    <n v="0"/>
    <x v="0"/>
    <n v="420000"/>
  </r>
  <r>
    <s v="ORD-2130"/>
    <x v="261"/>
    <x v="15"/>
    <x v="6"/>
    <x v="5"/>
    <s v="L"/>
    <n v="1"/>
    <n v="320000"/>
    <n v="0"/>
    <x v="1"/>
    <n v="320000"/>
  </r>
  <r>
    <s v="ORD-1820"/>
    <x v="321"/>
    <x v="8"/>
    <x v="7"/>
    <x v="3"/>
    <s v="L"/>
    <n v="4"/>
    <n v="235000"/>
    <n v="10"/>
    <x v="0"/>
    <n v="846000"/>
  </r>
  <r>
    <s v="ORD-1062"/>
    <x v="130"/>
    <x v="8"/>
    <x v="7"/>
    <x v="3"/>
    <s v="L"/>
    <n v="1"/>
    <n v="235000"/>
    <n v="0"/>
    <x v="1"/>
    <n v="235000"/>
  </r>
  <r>
    <s v="ORD-1555"/>
    <x v="85"/>
    <x v="26"/>
    <x v="18"/>
    <x v="7"/>
    <s v="M"/>
    <n v="3"/>
    <n v="335000"/>
    <n v="0"/>
    <x v="0"/>
    <n v="1005000"/>
  </r>
  <r>
    <s v="ORD-2197"/>
    <x v="114"/>
    <x v="17"/>
    <x v="4"/>
    <x v="3"/>
    <s v="M"/>
    <n v="2"/>
    <n v="215000"/>
    <n v="10"/>
    <x v="1"/>
    <n v="387000"/>
  </r>
  <r>
    <s v="ORD-2065"/>
    <x v="322"/>
    <x v="35"/>
    <x v="13"/>
    <x v="8"/>
    <s v="Unknown"/>
    <n v="1"/>
    <n v="395000"/>
    <n v="0"/>
    <x v="1"/>
    <n v="395000"/>
  </r>
  <r>
    <s v="ORD-1731"/>
    <x v="205"/>
    <x v="38"/>
    <x v="15"/>
    <x v="9"/>
    <s v="Unknown"/>
    <n v="4"/>
    <n v="170000"/>
    <n v="0"/>
    <x v="1"/>
    <n v="680000"/>
  </r>
  <r>
    <s v="ORD-2075"/>
    <x v="242"/>
    <x v="34"/>
    <x v="23"/>
    <x v="7"/>
    <s v="M"/>
    <n v="1"/>
    <n v="305000"/>
    <n v="0"/>
    <x v="2"/>
    <n v="305000"/>
  </r>
  <r>
    <s v="ORD-1486"/>
    <x v="205"/>
    <x v="7"/>
    <x v="6"/>
    <x v="5"/>
    <s v="M"/>
    <n v="1"/>
    <n v="320000"/>
    <n v="10"/>
    <x v="0"/>
    <n v="288000"/>
  </r>
  <r>
    <s v="ORD-1919"/>
    <x v="40"/>
    <x v="29"/>
    <x v="21"/>
    <x v="1"/>
    <s v="M"/>
    <n v="1"/>
    <n v="280000"/>
    <n v="10"/>
    <x v="1"/>
    <n v="252000"/>
  </r>
  <r>
    <s v="ORD-1074"/>
    <x v="59"/>
    <x v="36"/>
    <x v="9"/>
    <x v="4"/>
    <s v="S"/>
    <n v="4"/>
    <n v="195000"/>
    <n v="10"/>
    <x v="1"/>
    <n v="702000"/>
  </r>
  <r>
    <s v="ORD-1839"/>
    <x v="173"/>
    <x v="38"/>
    <x v="15"/>
    <x v="9"/>
    <s v="S"/>
    <n v="2"/>
    <n v="170000"/>
    <n v="10"/>
    <x v="0"/>
    <n v="306000"/>
  </r>
  <r>
    <s v="ORD-1946"/>
    <x v="87"/>
    <x v="22"/>
    <x v="15"/>
    <x v="9"/>
    <s v="M"/>
    <n v="1"/>
    <n v="170000"/>
    <n v="0"/>
    <x v="0"/>
    <n v="170000"/>
  </r>
  <r>
    <s v="ORD-1701"/>
    <x v="203"/>
    <x v="5"/>
    <x v="4"/>
    <x v="3"/>
    <s v="L"/>
    <n v="2"/>
    <n v="215000"/>
    <n v="0"/>
    <x v="1"/>
    <n v="430000"/>
  </r>
  <r>
    <s v="ORD-1388"/>
    <x v="323"/>
    <x v="35"/>
    <x v="13"/>
    <x v="8"/>
    <s v="Unknown"/>
    <n v="1"/>
    <n v="395000"/>
    <n v="15"/>
    <x v="1"/>
    <n v="335750"/>
  </r>
  <r>
    <s v="ORD-1551"/>
    <x v="264"/>
    <x v="9"/>
    <x v="7"/>
    <x v="3"/>
    <s v="M"/>
    <n v="2"/>
    <n v="235000"/>
    <n v="0"/>
    <x v="2"/>
    <n v="470000"/>
  </r>
  <r>
    <s v="ORD-1568"/>
    <x v="258"/>
    <x v="8"/>
    <x v="7"/>
    <x v="3"/>
    <s v="Unknown"/>
    <n v="1"/>
    <n v="235000"/>
    <n v="0"/>
    <x v="3"/>
    <n v="235000"/>
  </r>
  <r>
    <s v="ORD-1852"/>
    <x v="221"/>
    <x v="1"/>
    <x v="0"/>
    <x v="0"/>
    <s v="L"/>
    <n v="2"/>
    <n v="420000"/>
    <n v="10"/>
    <x v="0"/>
    <n v="756000"/>
  </r>
  <r>
    <s v="ORD-1888"/>
    <x v="187"/>
    <x v="0"/>
    <x v="0"/>
    <x v="0"/>
    <s v="M"/>
    <n v="1"/>
    <n v="420000"/>
    <n v="15"/>
    <x v="1"/>
    <n v="357000"/>
  </r>
  <r>
    <s v="ORD-1196"/>
    <x v="144"/>
    <x v="6"/>
    <x v="5"/>
    <x v="4"/>
    <s v="M"/>
    <n v="5"/>
    <n v="198000"/>
    <n v="0"/>
    <x v="1"/>
    <n v="990000"/>
  </r>
  <r>
    <s v="ORD-1031"/>
    <x v="68"/>
    <x v="9"/>
    <x v="7"/>
    <x v="3"/>
    <s v="M"/>
    <n v="1"/>
    <n v="235000"/>
    <n v="5"/>
    <x v="1"/>
    <n v="223250"/>
  </r>
  <r>
    <s v="ORD-1173"/>
    <x v="324"/>
    <x v="0"/>
    <x v="0"/>
    <x v="0"/>
    <s v="M"/>
    <n v="1"/>
    <n v="420000"/>
    <n v="15"/>
    <x v="1"/>
    <n v="357000"/>
  </r>
  <r>
    <s v="ORD-1501"/>
    <x v="51"/>
    <x v="10"/>
    <x v="8"/>
    <x v="3"/>
    <s v="S"/>
    <n v="2"/>
    <n v="220000"/>
    <n v="0"/>
    <x v="1"/>
    <n v="440000"/>
  </r>
  <r>
    <s v="ORD-1170"/>
    <x v="267"/>
    <x v="14"/>
    <x v="12"/>
    <x v="7"/>
    <s v="S"/>
    <n v="2"/>
    <n v="295000"/>
    <n v="0"/>
    <x v="3"/>
    <n v="590000"/>
  </r>
  <r>
    <s v="ORD-1760"/>
    <x v="30"/>
    <x v="35"/>
    <x v="13"/>
    <x v="8"/>
    <s v="M"/>
    <n v="3"/>
    <n v="395000"/>
    <n v="10"/>
    <x v="1"/>
    <n v="1066500"/>
  </r>
  <r>
    <s v="ORD-1694"/>
    <x v="25"/>
    <x v="31"/>
    <x v="10"/>
    <x v="6"/>
    <s v="L"/>
    <n v="1"/>
    <n v="105000"/>
    <n v="0"/>
    <x v="1"/>
    <n v="105000"/>
  </r>
  <r>
    <s v="ORD-1656"/>
    <x v="265"/>
    <x v="32"/>
    <x v="11"/>
    <x v="1"/>
    <s v="M"/>
    <n v="-1"/>
    <n v="260000"/>
    <n v="0"/>
    <x v="0"/>
    <n v="-260000"/>
  </r>
  <r>
    <s v="ORD-1660"/>
    <x v="15"/>
    <x v="25"/>
    <x v="10"/>
    <x v="6"/>
    <s v="M"/>
    <n v="3"/>
    <n v="105000"/>
    <n v="0"/>
    <x v="1"/>
    <n v="315000"/>
  </r>
  <r>
    <s v="ORD-1300"/>
    <x v="325"/>
    <x v="8"/>
    <x v="7"/>
    <x v="3"/>
    <s v="L"/>
    <n v="2"/>
    <n v="235000"/>
    <n v="5"/>
    <x v="0"/>
    <n v="446500"/>
  </r>
  <r>
    <s v="ORD-1680"/>
    <x v="115"/>
    <x v="14"/>
    <x v="12"/>
    <x v="7"/>
    <s v="S"/>
    <n v="1"/>
    <n v="295000"/>
    <n v="0"/>
    <x v="4"/>
    <n v="295000"/>
  </r>
  <r>
    <s v="ORD-1248"/>
    <x v="68"/>
    <x v="7"/>
    <x v="6"/>
    <x v="5"/>
    <s v="M"/>
    <n v="2"/>
    <n v="320000"/>
    <n v="0"/>
    <x v="3"/>
    <n v="640000"/>
  </r>
  <r>
    <s v="ORD-1211"/>
    <x v="14"/>
    <x v="15"/>
    <x v="6"/>
    <x v="5"/>
    <s v="L"/>
    <n v="4"/>
    <n v="320000"/>
    <n v="0"/>
    <x v="2"/>
    <n v="1280000"/>
  </r>
  <r>
    <s v="ORD-1782"/>
    <x v="112"/>
    <x v="21"/>
    <x v="8"/>
    <x v="3"/>
    <s v="L"/>
    <n v="1"/>
    <n v="220000"/>
    <n v="15"/>
    <x v="2"/>
    <n v="187000"/>
  </r>
  <r>
    <s v="ORD-1407"/>
    <x v="30"/>
    <x v="33"/>
    <x v="22"/>
    <x v="7"/>
    <s v="M"/>
    <n v="1"/>
    <n v="330000"/>
    <n v="0"/>
    <x v="2"/>
    <n v="330000"/>
  </r>
  <r>
    <s v="ORD-1792"/>
    <x v="326"/>
    <x v="30"/>
    <x v="16"/>
    <x v="0"/>
    <s v="S"/>
    <n v="1"/>
    <n v="430000"/>
    <n v="0"/>
    <x v="0"/>
    <n v="430000"/>
  </r>
  <r>
    <s v="ORD-2123"/>
    <x v="142"/>
    <x v="30"/>
    <x v="16"/>
    <x v="0"/>
    <s v="S"/>
    <n v="1"/>
    <n v="430000"/>
    <n v="5"/>
    <x v="3"/>
    <n v="408500"/>
  </r>
  <r>
    <s v="ORD-1448"/>
    <x v="127"/>
    <x v="29"/>
    <x v="21"/>
    <x v="1"/>
    <s v="M"/>
    <n v="1"/>
    <n v="280000"/>
    <n v="0"/>
    <x v="3"/>
    <n v="280000"/>
  </r>
  <r>
    <s v="ORD-1461"/>
    <x v="251"/>
    <x v="30"/>
    <x v="16"/>
    <x v="0"/>
    <s v="S"/>
    <n v="3"/>
    <n v="430000"/>
    <n v="0"/>
    <x v="0"/>
    <n v="1290000"/>
  </r>
  <r>
    <s v="ORD-1086"/>
    <x v="244"/>
    <x v="22"/>
    <x v="15"/>
    <x v="9"/>
    <s v="M"/>
    <n v="1"/>
    <n v="170000"/>
    <n v="0"/>
    <x v="0"/>
    <n v="170000"/>
  </r>
  <r>
    <s v="ORD-1835"/>
    <x v="142"/>
    <x v="27"/>
    <x v="19"/>
    <x v="0"/>
    <s v="L"/>
    <n v="1"/>
    <n v="440000"/>
    <n v="0"/>
    <x v="0"/>
    <n v="440000"/>
  </r>
  <r>
    <s v="ORD-1751"/>
    <x v="115"/>
    <x v="33"/>
    <x v="22"/>
    <x v="7"/>
    <s v="M"/>
    <n v="3"/>
    <n v="330000"/>
    <n v="0"/>
    <x v="0"/>
    <n v="990000"/>
  </r>
  <r>
    <s v="ORD-1635"/>
    <x v="114"/>
    <x v="30"/>
    <x v="16"/>
    <x v="0"/>
    <s v="S"/>
    <n v="1"/>
    <n v="430000"/>
    <n v="0"/>
    <x v="0"/>
    <n v="430000"/>
  </r>
  <r>
    <s v="ORD-1962"/>
    <x v="137"/>
    <x v="20"/>
    <x v="14"/>
    <x v="0"/>
    <s v="M"/>
    <n v="1"/>
    <n v="425000"/>
    <n v="0"/>
    <x v="1"/>
    <n v="425000"/>
  </r>
  <r>
    <s v="ORD-1698"/>
    <x v="126"/>
    <x v="26"/>
    <x v="18"/>
    <x v="7"/>
    <s v="M"/>
    <n v="5"/>
    <n v="335000"/>
    <n v="0"/>
    <x v="1"/>
    <n v="1675000"/>
  </r>
  <r>
    <s v="ORD-1503"/>
    <x v="225"/>
    <x v="27"/>
    <x v="19"/>
    <x v="0"/>
    <s v="L"/>
    <n v="5"/>
    <n v="440000"/>
    <n v="0"/>
    <x v="0"/>
    <n v="2200000"/>
  </r>
  <r>
    <s v="ORD-1748"/>
    <x v="161"/>
    <x v="31"/>
    <x v="10"/>
    <x v="6"/>
    <s v="L"/>
    <n v="1"/>
    <n v="105000"/>
    <n v="0"/>
    <x v="3"/>
    <n v="105000"/>
  </r>
  <r>
    <s v="ORD-2025"/>
    <x v="163"/>
    <x v="5"/>
    <x v="4"/>
    <x v="3"/>
    <s v="L"/>
    <n v="4"/>
    <n v="215000"/>
    <n v="0"/>
    <x v="0"/>
    <n v="860000"/>
  </r>
  <r>
    <s v="ORD-1783"/>
    <x v="299"/>
    <x v="8"/>
    <x v="7"/>
    <x v="3"/>
    <s v="L"/>
    <n v="1"/>
    <n v="235000"/>
    <n v="0"/>
    <x v="1"/>
    <n v="235000"/>
  </r>
  <r>
    <s v="ORD-1550"/>
    <x v="154"/>
    <x v="28"/>
    <x v="20"/>
    <x v="10"/>
    <s v="M"/>
    <n v="4"/>
    <n v="228000"/>
    <n v="10"/>
    <x v="1"/>
    <n v="820800"/>
  </r>
  <r>
    <s v="ORD-1788"/>
    <x v="100"/>
    <x v="19"/>
    <x v="0"/>
    <x v="0"/>
    <s v="S"/>
    <n v="1"/>
    <n v="420000"/>
    <n v="0"/>
    <x v="0"/>
    <n v="420000"/>
  </r>
  <r>
    <s v="ORD-1995"/>
    <x v="237"/>
    <x v="27"/>
    <x v="19"/>
    <x v="0"/>
    <s v="L"/>
    <n v="1"/>
    <n v="440000"/>
    <n v="5"/>
    <x v="2"/>
    <n v="418000"/>
  </r>
  <r>
    <s v="ORD-1458"/>
    <x v="26"/>
    <x v="4"/>
    <x v="3"/>
    <x v="3"/>
    <s v="M"/>
    <n v="1"/>
    <n v="210000"/>
    <n v="0"/>
    <x v="3"/>
    <n v="210000"/>
  </r>
  <r>
    <s v="ORD-1730"/>
    <x v="47"/>
    <x v="0"/>
    <x v="0"/>
    <x v="0"/>
    <s v="M"/>
    <n v="1"/>
    <n v="420000"/>
    <n v="0"/>
    <x v="0"/>
    <n v="420000"/>
  </r>
  <r>
    <s v="ORD-1957"/>
    <x v="327"/>
    <x v="10"/>
    <x v="8"/>
    <x v="3"/>
    <s v="S"/>
    <n v="1"/>
    <n v="220000"/>
    <n v="0"/>
    <x v="1"/>
    <n v="220000"/>
  </r>
  <r>
    <s v="ORD-1157"/>
    <x v="183"/>
    <x v="19"/>
    <x v="0"/>
    <x v="0"/>
    <s v="S"/>
    <n v="1"/>
    <n v="420000"/>
    <n v="20"/>
    <x v="1"/>
    <n v="336000"/>
  </r>
  <r>
    <s v="ORD-1198"/>
    <x v="77"/>
    <x v="8"/>
    <x v="7"/>
    <x v="3"/>
    <s v="L"/>
    <n v="2"/>
    <n v="235000"/>
    <n v="10"/>
    <x v="3"/>
    <n v="423000"/>
  </r>
  <r>
    <s v="ORD-2001"/>
    <x v="196"/>
    <x v="5"/>
    <x v="4"/>
    <x v="3"/>
    <s v="L"/>
    <n v="1"/>
    <n v="215000"/>
    <n v="0"/>
    <x v="2"/>
    <n v="215000"/>
  </r>
  <r>
    <s v="ORD-1143"/>
    <x v="312"/>
    <x v="37"/>
    <x v="8"/>
    <x v="3"/>
    <s v="M"/>
    <n v="4"/>
    <n v="220000"/>
    <n v="0"/>
    <x v="0"/>
    <n v="880000"/>
  </r>
  <r>
    <s v="ORD-2160"/>
    <x v="131"/>
    <x v="12"/>
    <x v="10"/>
    <x v="6"/>
    <s v="S"/>
    <n v="3"/>
    <n v="105000"/>
    <n v="15"/>
    <x v="1"/>
    <n v="267750"/>
  </r>
  <r>
    <s v="ORD-1078"/>
    <x v="21"/>
    <x v="17"/>
    <x v="4"/>
    <x v="3"/>
    <s v="M"/>
    <n v="1"/>
    <n v="215000"/>
    <n v="10"/>
    <x v="1"/>
    <n v="193500"/>
  </r>
  <r>
    <s v="ORD-1069"/>
    <x v="10"/>
    <x v="36"/>
    <x v="9"/>
    <x v="4"/>
    <s v="S"/>
    <n v="4"/>
    <n v="195000"/>
    <n v="15"/>
    <x v="1"/>
    <n v="663000"/>
  </r>
  <r>
    <s v="ORD-2177"/>
    <x v="47"/>
    <x v="29"/>
    <x v="21"/>
    <x v="1"/>
    <s v="M"/>
    <n v="1"/>
    <n v="280000"/>
    <n v="0"/>
    <x v="1"/>
    <n v="280000"/>
  </r>
  <r>
    <s v="ORD-1201"/>
    <x v="16"/>
    <x v="30"/>
    <x v="16"/>
    <x v="0"/>
    <s v="S"/>
    <n v="2"/>
    <n v="430000"/>
    <n v="0"/>
    <x v="3"/>
    <n v="860000"/>
  </r>
  <r>
    <s v="ORD-2142"/>
    <x v="188"/>
    <x v="9"/>
    <x v="7"/>
    <x v="3"/>
    <s v="M"/>
    <n v="2"/>
    <n v="235000"/>
    <n v="5"/>
    <x v="0"/>
    <n v="446500"/>
  </r>
  <r>
    <s v="ORD-1149"/>
    <x v="45"/>
    <x v="30"/>
    <x v="16"/>
    <x v="0"/>
    <s v="S"/>
    <n v="1"/>
    <n v="430000"/>
    <n v="0"/>
    <x v="1"/>
    <n v="430000"/>
  </r>
  <r>
    <s v="ORD-1757"/>
    <x v="326"/>
    <x v="23"/>
    <x v="16"/>
    <x v="0"/>
    <s v="M"/>
    <n v="5"/>
    <n v="430000"/>
    <n v="0"/>
    <x v="1"/>
    <n v="2150000"/>
  </r>
  <r>
    <s v="ORD-1346"/>
    <x v="71"/>
    <x v="3"/>
    <x v="2"/>
    <x v="2"/>
    <s v="M"/>
    <n v="3"/>
    <n v="182000"/>
    <n v="0"/>
    <x v="1"/>
    <n v="546000"/>
  </r>
  <r>
    <s v="ORD-1478"/>
    <x v="95"/>
    <x v="0"/>
    <x v="0"/>
    <x v="0"/>
    <s v="M"/>
    <n v="2"/>
    <n v="420000"/>
    <n v="0"/>
    <x v="1"/>
    <n v="840000"/>
  </r>
  <r>
    <s v="ORD-1667"/>
    <x v="115"/>
    <x v="37"/>
    <x v="8"/>
    <x v="3"/>
    <s v="M"/>
    <n v="1"/>
    <n v="220000"/>
    <n v="20"/>
    <x v="1"/>
    <n v="176000"/>
  </r>
  <r>
    <s v="ORD-1292"/>
    <x v="176"/>
    <x v="11"/>
    <x v="9"/>
    <x v="4"/>
    <s v="M"/>
    <n v="1"/>
    <n v="195000"/>
    <n v="20"/>
    <x v="1"/>
    <n v="156000"/>
  </r>
  <r>
    <s v="ORD-1376"/>
    <x v="66"/>
    <x v="20"/>
    <x v="14"/>
    <x v="0"/>
    <s v="M"/>
    <n v="1"/>
    <n v="425000"/>
    <n v="0"/>
    <x v="2"/>
    <n v="425000"/>
  </r>
  <r>
    <s v="ORD-1668"/>
    <x v="162"/>
    <x v="3"/>
    <x v="2"/>
    <x v="2"/>
    <s v="M"/>
    <n v="1"/>
    <n v="182000"/>
    <n v="0"/>
    <x v="2"/>
    <n v="182000"/>
  </r>
  <r>
    <s v="ORD-1312"/>
    <x v="105"/>
    <x v="6"/>
    <x v="5"/>
    <x v="4"/>
    <s v="M"/>
    <n v="2"/>
    <n v="198000"/>
    <n v="0"/>
    <x v="3"/>
    <n v="396000"/>
  </r>
  <r>
    <s v="ORD-1260"/>
    <x v="136"/>
    <x v="25"/>
    <x v="10"/>
    <x v="6"/>
    <s v="M"/>
    <n v="1"/>
    <n v="105000"/>
    <n v="0"/>
    <x v="1"/>
    <n v="105000"/>
  </r>
  <r>
    <s v="ORD-1439"/>
    <x v="163"/>
    <x v="38"/>
    <x v="15"/>
    <x v="9"/>
    <s v="S"/>
    <n v="1"/>
    <n v="170000"/>
    <n v="10"/>
    <x v="1"/>
    <n v="153000"/>
  </r>
  <r>
    <s v="ORD-1967"/>
    <x v="97"/>
    <x v="14"/>
    <x v="12"/>
    <x v="7"/>
    <s v="S"/>
    <n v="3"/>
    <n v="295000"/>
    <n v="10"/>
    <x v="1"/>
    <n v="796500"/>
  </r>
  <r>
    <s v="ORD-1692"/>
    <x v="301"/>
    <x v="20"/>
    <x v="14"/>
    <x v="0"/>
    <s v="M"/>
    <n v="2"/>
    <n v="425000"/>
    <n v="0"/>
    <x v="3"/>
    <n v="850000"/>
  </r>
  <r>
    <s v="ORD-1032"/>
    <x v="328"/>
    <x v="5"/>
    <x v="4"/>
    <x v="3"/>
    <s v="L"/>
    <n v="1"/>
    <n v="215000"/>
    <n v="0"/>
    <x v="2"/>
    <n v="215000"/>
  </r>
  <r>
    <s v="ORD-1048"/>
    <x v="325"/>
    <x v="35"/>
    <x v="13"/>
    <x v="8"/>
    <s v="M"/>
    <n v="1"/>
    <n v="395000"/>
    <n v="0"/>
    <x v="3"/>
    <n v="395000"/>
  </r>
  <r>
    <s v="ORD-1274"/>
    <x v="133"/>
    <x v="30"/>
    <x v="16"/>
    <x v="0"/>
    <s v="S"/>
    <n v="-4"/>
    <n v="430000"/>
    <n v="0"/>
    <x v="2"/>
    <n v="-1720000"/>
  </r>
  <r>
    <s v="ORD-1972"/>
    <x v="289"/>
    <x v="34"/>
    <x v="23"/>
    <x v="7"/>
    <s v="M"/>
    <n v="5"/>
    <n v="305000"/>
    <n v="5"/>
    <x v="0"/>
    <n v="1448750"/>
  </r>
  <r>
    <s v="ORD-2128"/>
    <x v="161"/>
    <x v="20"/>
    <x v="14"/>
    <x v="0"/>
    <s v="M"/>
    <n v="2"/>
    <n v="425000"/>
    <n v="0"/>
    <x v="0"/>
    <n v="850000"/>
  </r>
  <r>
    <s v="ORD-2146"/>
    <x v="99"/>
    <x v="30"/>
    <x v="16"/>
    <x v="0"/>
    <s v="S"/>
    <n v="1"/>
    <n v="430000"/>
    <n v="0"/>
    <x v="2"/>
    <n v="430000"/>
  </r>
  <r>
    <s v="ORD-1816"/>
    <x v="293"/>
    <x v="3"/>
    <x v="2"/>
    <x v="2"/>
    <s v="M"/>
    <n v="1"/>
    <n v="182000"/>
    <n v="0"/>
    <x v="1"/>
    <n v="182000"/>
  </r>
  <r>
    <s v="ORD-2089"/>
    <x v="6"/>
    <x v="17"/>
    <x v="4"/>
    <x v="3"/>
    <s v="M"/>
    <n v="2"/>
    <n v="215000"/>
    <n v="0"/>
    <x v="1"/>
    <n v="430000"/>
  </r>
  <r>
    <s v="ORD-1259"/>
    <x v="269"/>
    <x v="31"/>
    <x v="10"/>
    <x v="6"/>
    <s v="L"/>
    <n v="-1"/>
    <n v="105000"/>
    <n v="0"/>
    <x v="0"/>
    <n v="-105000"/>
  </r>
  <r>
    <s v="ORD-1899"/>
    <x v="94"/>
    <x v="18"/>
    <x v="13"/>
    <x v="8"/>
    <s v="L"/>
    <n v="4"/>
    <n v="395000"/>
    <n v="20"/>
    <x v="0"/>
    <n v="1264000"/>
  </r>
  <r>
    <s v="ORD-1515"/>
    <x v="46"/>
    <x v="11"/>
    <x v="9"/>
    <x v="4"/>
    <s v="M"/>
    <n v="2"/>
    <n v="195000"/>
    <n v="0"/>
    <x v="3"/>
    <n v="390000"/>
  </r>
  <r>
    <s v="ORD-1238"/>
    <x v="319"/>
    <x v="26"/>
    <x v="18"/>
    <x v="7"/>
    <s v="M"/>
    <n v="3"/>
    <n v="335000"/>
    <n v="0"/>
    <x v="1"/>
    <n v="1005000"/>
  </r>
  <r>
    <s v="ORD-1769"/>
    <x v="106"/>
    <x v="28"/>
    <x v="20"/>
    <x v="10"/>
    <s v="M"/>
    <n v="2"/>
    <n v="228000"/>
    <n v="10"/>
    <x v="3"/>
    <n v="410400"/>
  </r>
  <r>
    <s v="ORD-1711"/>
    <x v="84"/>
    <x v="23"/>
    <x v="16"/>
    <x v="0"/>
    <s v="M"/>
    <n v="1"/>
    <n v="430000"/>
    <n v="0"/>
    <x v="3"/>
    <n v="430000"/>
  </r>
  <r>
    <s v="ORD-1570"/>
    <x v="284"/>
    <x v="15"/>
    <x v="6"/>
    <x v="5"/>
    <s v="L"/>
    <n v="2"/>
    <n v="320000"/>
    <n v="0"/>
    <x v="3"/>
    <n v="640000"/>
  </r>
  <r>
    <s v="ORD-1687"/>
    <x v="176"/>
    <x v="27"/>
    <x v="19"/>
    <x v="0"/>
    <s v="L"/>
    <n v="1"/>
    <n v="440000"/>
    <n v="0"/>
    <x v="1"/>
    <n v="440000"/>
  </r>
  <r>
    <s v="ORD-2176"/>
    <x v="51"/>
    <x v="29"/>
    <x v="21"/>
    <x v="1"/>
    <s v="M"/>
    <n v="1"/>
    <n v="280000"/>
    <n v="0"/>
    <x v="0"/>
    <n v="280000"/>
  </r>
  <r>
    <s v="ORD-1130"/>
    <x v="191"/>
    <x v="23"/>
    <x v="16"/>
    <x v="0"/>
    <s v="M"/>
    <n v="3"/>
    <n v="430000"/>
    <n v="5"/>
    <x v="3"/>
    <n v="1225500"/>
  </r>
  <r>
    <s v="ORD-1317"/>
    <x v="329"/>
    <x v="22"/>
    <x v="15"/>
    <x v="9"/>
    <s v="M"/>
    <n v="1"/>
    <n v="170000"/>
    <n v="0"/>
    <x v="4"/>
    <n v="170000"/>
  </r>
  <r>
    <s v="ORD-2092"/>
    <x v="142"/>
    <x v="4"/>
    <x v="3"/>
    <x v="3"/>
    <s v="M"/>
    <n v="5"/>
    <n v="210000"/>
    <n v="0"/>
    <x v="0"/>
    <n v="1050000"/>
  </r>
  <r>
    <s v="ORD-1083"/>
    <x v="254"/>
    <x v="36"/>
    <x v="9"/>
    <x v="4"/>
    <s v="S"/>
    <n v="2"/>
    <n v="195000"/>
    <n v="0"/>
    <x v="1"/>
    <n v="390000"/>
  </r>
  <r>
    <s v="ORD-1754"/>
    <x v="330"/>
    <x v="27"/>
    <x v="19"/>
    <x v="0"/>
    <s v="L"/>
    <n v="4"/>
    <n v="440000"/>
    <n v="0"/>
    <x v="1"/>
    <n v="1760000"/>
  </r>
  <r>
    <s v="ORD-1345"/>
    <x v="225"/>
    <x v="3"/>
    <x v="2"/>
    <x v="2"/>
    <s v="M"/>
    <n v="1"/>
    <n v="182000"/>
    <n v="0"/>
    <x v="1"/>
    <n v="182000"/>
  </r>
  <r>
    <s v="ORD-1944"/>
    <x v="211"/>
    <x v="7"/>
    <x v="6"/>
    <x v="5"/>
    <s v="M"/>
    <n v="1"/>
    <n v="320000"/>
    <n v="10"/>
    <x v="1"/>
    <n v="288000"/>
  </r>
  <r>
    <s v="ORD-1098"/>
    <x v="309"/>
    <x v="1"/>
    <x v="0"/>
    <x v="0"/>
    <s v="L"/>
    <n v="2"/>
    <n v="420000"/>
    <n v="15"/>
    <x v="2"/>
    <n v="714000"/>
  </r>
  <r>
    <s v="ORD-1790"/>
    <x v="202"/>
    <x v="13"/>
    <x v="11"/>
    <x v="1"/>
    <s v="S"/>
    <n v="2"/>
    <n v="260000"/>
    <n v="0"/>
    <x v="2"/>
    <n v="520000"/>
  </r>
  <r>
    <s v="ORD-1708"/>
    <x v="90"/>
    <x v="11"/>
    <x v="9"/>
    <x v="4"/>
    <s v="M"/>
    <n v="2"/>
    <n v="195000"/>
    <n v="0"/>
    <x v="2"/>
    <n v="390000"/>
  </r>
  <r>
    <s v="ORD-1880"/>
    <x v="24"/>
    <x v="35"/>
    <x v="13"/>
    <x v="8"/>
    <s v="M"/>
    <n v="5"/>
    <n v="395000"/>
    <n v="20"/>
    <x v="0"/>
    <n v="1580000"/>
  </r>
  <r>
    <s v="ORD-1466"/>
    <x v="67"/>
    <x v="10"/>
    <x v="8"/>
    <x v="3"/>
    <s v="S"/>
    <n v="1"/>
    <n v="220000"/>
    <n v="0"/>
    <x v="3"/>
    <n v="220000"/>
  </r>
  <r>
    <s v="ORD-1700"/>
    <x v="221"/>
    <x v="3"/>
    <x v="2"/>
    <x v="2"/>
    <s v="M"/>
    <n v="1"/>
    <n v="182000"/>
    <n v="0"/>
    <x v="0"/>
    <n v="182000"/>
  </r>
  <r>
    <s v="ORD-1980"/>
    <x v="266"/>
    <x v="38"/>
    <x v="15"/>
    <x v="9"/>
    <s v="S"/>
    <n v="3"/>
    <n v="170000"/>
    <n v="0"/>
    <x v="1"/>
    <n v="510000"/>
  </r>
  <r>
    <s v="ORD-2099"/>
    <x v="244"/>
    <x v="29"/>
    <x v="21"/>
    <x v="1"/>
    <s v="M"/>
    <n v="2"/>
    <n v="280000"/>
    <n v="0"/>
    <x v="0"/>
    <n v="560000"/>
  </r>
  <r>
    <s v="ORD-2069"/>
    <x v="273"/>
    <x v="17"/>
    <x v="4"/>
    <x v="3"/>
    <s v="M"/>
    <n v="1"/>
    <n v="215000"/>
    <n v="0"/>
    <x v="1"/>
    <n v="215000"/>
  </r>
  <r>
    <s v="ORD-1417"/>
    <x v="59"/>
    <x v="30"/>
    <x v="16"/>
    <x v="0"/>
    <s v="S"/>
    <n v="1"/>
    <n v="430000"/>
    <n v="0"/>
    <x v="3"/>
    <n v="430000"/>
  </r>
  <r>
    <s v="ORD-2098"/>
    <x v="120"/>
    <x v="0"/>
    <x v="0"/>
    <x v="0"/>
    <s v="M"/>
    <n v="1"/>
    <n v="420000"/>
    <n v="15"/>
    <x v="0"/>
    <n v="357000"/>
  </r>
  <r>
    <s v="ORD-1337"/>
    <x v="147"/>
    <x v="16"/>
    <x v="12"/>
    <x v="7"/>
    <s v="M"/>
    <n v="2"/>
    <n v="295000"/>
    <n v="0"/>
    <x v="0"/>
    <n v="590000"/>
  </r>
  <r>
    <s v="ORD-1227"/>
    <x v="55"/>
    <x v="38"/>
    <x v="15"/>
    <x v="9"/>
    <s v="S"/>
    <n v="5"/>
    <n v="170000"/>
    <n v="0"/>
    <x v="0"/>
    <n v="850000"/>
  </r>
  <r>
    <s v="ORD-1301"/>
    <x v="149"/>
    <x v="28"/>
    <x v="20"/>
    <x v="10"/>
    <s v="M"/>
    <n v="3"/>
    <n v="228000"/>
    <n v="0"/>
    <x v="3"/>
    <n v="684000"/>
  </r>
  <r>
    <s v="ORD-1155"/>
    <x v="53"/>
    <x v="39"/>
    <x v="19"/>
    <x v="0"/>
    <s v="M"/>
    <n v="2"/>
    <n v="440000"/>
    <n v="0"/>
    <x v="2"/>
    <n v="880000"/>
  </r>
  <r>
    <s v="ORD-2116"/>
    <x v="282"/>
    <x v="35"/>
    <x v="13"/>
    <x v="8"/>
    <s v="M"/>
    <n v="1"/>
    <n v="395000"/>
    <n v="0"/>
    <x v="3"/>
    <n v="395000"/>
  </r>
  <r>
    <s v="ORD-1336"/>
    <x v="2"/>
    <x v="7"/>
    <x v="6"/>
    <x v="5"/>
    <s v="M"/>
    <n v="1"/>
    <n v="320000"/>
    <n v="0"/>
    <x v="0"/>
    <n v="320000"/>
  </r>
  <r>
    <s v="ORD-1538"/>
    <x v="180"/>
    <x v="21"/>
    <x v="8"/>
    <x v="3"/>
    <s v="L"/>
    <n v="1"/>
    <n v="220000"/>
    <n v="5"/>
    <x v="3"/>
    <n v="209000"/>
  </r>
  <r>
    <s v="ORD-1836"/>
    <x v="152"/>
    <x v="33"/>
    <x v="22"/>
    <x v="7"/>
    <s v="M"/>
    <n v="2"/>
    <n v="330000"/>
    <n v="0"/>
    <x v="2"/>
    <n v="660000"/>
  </r>
  <r>
    <s v="ORD-2190"/>
    <x v="209"/>
    <x v="2"/>
    <x v="1"/>
    <x v="1"/>
    <s v="M"/>
    <n v="3"/>
    <n v="265000"/>
    <n v="0"/>
    <x v="0"/>
    <n v="795000"/>
  </r>
  <r>
    <s v="ORD-1913"/>
    <x v="265"/>
    <x v="22"/>
    <x v="15"/>
    <x v="9"/>
    <s v="M"/>
    <n v="2"/>
    <n v="170000"/>
    <n v="0"/>
    <x v="1"/>
    <n v="340000"/>
  </r>
  <r>
    <s v="ORD-1559"/>
    <x v="111"/>
    <x v="33"/>
    <x v="22"/>
    <x v="7"/>
    <s v="M"/>
    <n v="1"/>
    <n v="330000"/>
    <n v="0"/>
    <x v="0"/>
    <n v="330000"/>
  </r>
  <r>
    <s v="ORD-1027"/>
    <x v="331"/>
    <x v="16"/>
    <x v="12"/>
    <x v="7"/>
    <s v="M"/>
    <n v="3"/>
    <n v="295000"/>
    <n v="0"/>
    <x v="3"/>
    <n v="885000"/>
  </r>
  <r>
    <s v="ORD-1909"/>
    <x v="103"/>
    <x v="16"/>
    <x v="12"/>
    <x v="7"/>
    <s v="M"/>
    <n v="1"/>
    <n v="295000"/>
    <n v="0"/>
    <x v="1"/>
    <n v="295000"/>
  </r>
  <r>
    <s v="ORD-1733"/>
    <x v="143"/>
    <x v="0"/>
    <x v="0"/>
    <x v="0"/>
    <s v="M"/>
    <n v="1"/>
    <n v="420000"/>
    <n v="0"/>
    <x v="0"/>
    <n v="420000"/>
  </r>
  <r>
    <s v="ORD-1354"/>
    <x v="290"/>
    <x v="36"/>
    <x v="9"/>
    <x v="4"/>
    <s v="S"/>
    <n v="1"/>
    <n v="195000"/>
    <n v="0"/>
    <x v="1"/>
    <n v="195000"/>
  </r>
  <r>
    <s v="ORD-1162"/>
    <x v="28"/>
    <x v="4"/>
    <x v="3"/>
    <x v="3"/>
    <s v="M"/>
    <n v="2"/>
    <n v="210000"/>
    <n v="0"/>
    <x v="4"/>
    <n v="420000"/>
  </r>
  <r>
    <s v="ORD-1401"/>
    <x v="47"/>
    <x v="31"/>
    <x v="10"/>
    <x v="6"/>
    <s v="L"/>
    <n v="4"/>
    <n v="105000"/>
    <n v="0"/>
    <x v="1"/>
    <n v="420000"/>
  </r>
  <r>
    <s v="ORD-1261"/>
    <x v="230"/>
    <x v="5"/>
    <x v="4"/>
    <x v="3"/>
    <s v="L"/>
    <n v="1"/>
    <n v="215000"/>
    <n v="0"/>
    <x v="1"/>
    <n v="215000"/>
  </r>
  <r>
    <s v="ORD-2012"/>
    <x v="198"/>
    <x v="22"/>
    <x v="15"/>
    <x v="9"/>
    <s v="M"/>
    <n v="5"/>
    <n v="170000"/>
    <n v="15"/>
    <x v="1"/>
    <n v="722500"/>
  </r>
  <r>
    <s v="ORD-1985"/>
    <x v="55"/>
    <x v="27"/>
    <x v="19"/>
    <x v="0"/>
    <s v="L"/>
    <n v="1"/>
    <n v="440000"/>
    <n v="0"/>
    <x v="3"/>
    <n v="440000"/>
  </r>
  <r>
    <s v="ORD-1811"/>
    <x v="281"/>
    <x v="16"/>
    <x v="12"/>
    <x v="7"/>
    <s v="M"/>
    <n v="-1"/>
    <n v="295000"/>
    <n v="0"/>
    <x v="3"/>
    <n v="-295000"/>
  </r>
  <r>
    <s v="ORD-2057"/>
    <x v="44"/>
    <x v="1"/>
    <x v="0"/>
    <x v="0"/>
    <s v="L"/>
    <n v="2"/>
    <n v="420000"/>
    <n v="5"/>
    <x v="3"/>
    <n v="798000"/>
  </r>
  <r>
    <s v="ORD-2179"/>
    <x v="273"/>
    <x v="24"/>
    <x v="17"/>
    <x v="3"/>
    <s v="M"/>
    <n v="1"/>
    <n v="210000"/>
    <n v="0"/>
    <x v="0"/>
    <n v="210000"/>
  </r>
  <r>
    <s v="ORD-1221"/>
    <x v="299"/>
    <x v="10"/>
    <x v="8"/>
    <x v="3"/>
    <s v="S"/>
    <n v="1"/>
    <n v="220000"/>
    <n v="0"/>
    <x v="0"/>
    <n v="220000"/>
  </r>
  <r>
    <s v="ORD-1030"/>
    <x v="332"/>
    <x v="9"/>
    <x v="7"/>
    <x v="3"/>
    <s v="M"/>
    <n v="3"/>
    <n v="235000"/>
    <n v="0"/>
    <x v="1"/>
    <n v="705000"/>
  </r>
  <r>
    <s v="ORD-1012"/>
    <x v="29"/>
    <x v="10"/>
    <x v="8"/>
    <x v="3"/>
    <s v="S"/>
    <n v="1"/>
    <n v="220000"/>
    <n v="0"/>
    <x v="2"/>
    <n v="220000"/>
  </r>
  <r>
    <s v="ORD-1122"/>
    <x v="49"/>
    <x v="30"/>
    <x v="16"/>
    <x v="0"/>
    <s v="S"/>
    <n v="1"/>
    <n v="430000"/>
    <n v="0"/>
    <x v="4"/>
    <n v="430000"/>
  </r>
  <r>
    <s v="ORD-1795"/>
    <x v="207"/>
    <x v="27"/>
    <x v="19"/>
    <x v="0"/>
    <s v="L"/>
    <n v="4"/>
    <n v="440000"/>
    <n v="0"/>
    <x v="1"/>
    <n v="1760000"/>
  </r>
  <r>
    <s v="ORD-2058"/>
    <x v="77"/>
    <x v="23"/>
    <x v="16"/>
    <x v="0"/>
    <s v="M"/>
    <n v="1"/>
    <n v="430000"/>
    <n v="0"/>
    <x v="1"/>
    <n v="430000"/>
  </r>
  <r>
    <s v="ORD-1514"/>
    <x v="318"/>
    <x v="5"/>
    <x v="4"/>
    <x v="3"/>
    <s v="L"/>
    <n v="2"/>
    <n v="215000"/>
    <n v="0"/>
    <x v="0"/>
    <n v="430000"/>
  </r>
  <r>
    <s v="ORD-2030"/>
    <x v="201"/>
    <x v="2"/>
    <x v="1"/>
    <x v="1"/>
    <s v="M"/>
    <n v="2"/>
    <n v="265000"/>
    <n v="0"/>
    <x v="4"/>
    <n v="530000"/>
  </r>
  <r>
    <s v="ORD-1118"/>
    <x v="15"/>
    <x v="6"/>
    <x v="5"/>
    <x v="4"/>
    <s v="M"/>
    <n v="2"/>
    <n v="198000"/>
    <n v="0"/>
    <x v="4"/>
    <n v="396000"/>
  </r>
  <r>
    <s v="ORD-1189"/>
    <x v="23"/>
    <x v="6"/>
    <x v="5"/>
    <x v="4"/>
    <s v="Unknown"/>
    <n v="1"/>
    <n v="198000"/>
    <n v="0"/>
    <x v="3"/>
    <n v="198000"/>
  </r>
  <r>
    <s v="ORD-2165"/>
    <x v="39"/>
    <x v="23"/>
    <x v="16"/>
    <x v="0"/>
    <s v="M"/>
    <n v="2"/>
    <n v="430000"/>
    <n v="0"/>
    <x v="0"/>
    <n v="860000"/>
  </r>
  <r>
    <s v="ORD-1575"/>
    <x v="185"/>
    <x v="17"/>
    <x v="4"/>
    <x v="3"/>
    <s v="M"/>
    <n v="5"/>
    <n v="215000"/>
    <n v="10"/>
    <x v="0"/>
    <n v="967500"/>
  </r>
  <r>
    <s v="ORD-1362"/>
    <x v="68"/>
    <x v="24"/>
    <x v="17"/>
    <x v="3"/>
    <s v="Unknown"/>
    <n v="1"/>
    <n v="210000"/>
    <n v="0"/>
    <x v="3"/>
    <n v="210000"/>
  </r>
  <r>
    <s v="ORD-1161"/>
    <x v="179"/>
    <x v="30"/>
    <x v="16"/>
    <x v="0"/>
    <s v="S"/>
    <n v="2"/>
    <n v="430000"/>
    <n v="5"/>
    <x v="3"/>
    <n v="817000"/>
  </r>
  <r>
    <s v="ORD-1212"/>
    <x v="192"/>
    <x v="28"/>
    <x v="20"/>
    <x v="10"/>
    <s v="M"/>
    <n v="2"/>
    <n v="228000"/>
    <n v="0"/>
    <x v="4"/>
    <n v="456000"/>
  </r>
  <r>
    <s v="ORD-1056"/>
    <x v="301"/>
    <x v="26"/>
    <x v="18"/>
    <x v="7"/>
    <s v="M"/>
    <n v="2"/>
    <n v="335000"/>
    <n v="0"/>
    <x v="4"/>
    <n v="670000"/>
  </r>
  <r>
    <s v="ORD-1799"/>
    <x v="258"/>
    <x v="21"/>
    <x v="8"/>
    <x v="3"/>
    <s v="L"/>
    <n v="1"/>
    <n v="220000"/>
    <n v="0"/>
    <x v="2"/>
    <n v="220000"/>
  </r>
  <r>
    <s v="ORD-1137"/>
    <x v="140"/>
    <x v="31"/>
    <x v="10"/>
    <x v="6"/>
    <s v="L"/>
    <n v="1"/>
    <n v="105000"/>
    <n v="10"/>
    <x v="4"/>
    <n v="94500"/>
  </r>
  <r>
    <s v="ORD-1647"/>
    <x v="170"/>
    <x v="19"/>
    <x v="0"/>
    <x v="0"/>
    <s v="S"/>
    <n v="4"/>
    <n v="420000"/>
    <n v="0"/>
    <x v="1"/>
    <n v="1680000"/>
  </r>
  <r>
    <s v="ORD-1275"/>
    <x v="135"/>
    <x v="29"/>
    <x v="21"/>
    <x v="1"/>
    <s v="M"/>
    <n v="-4"/>
    <n v="280000"/>
    <n v="0"/>
    <x v="1"/>
    <n v="-1120000"/>
  </r>
  <r>
    <s v="ORD-1821"/>
    <x v="83"/>
    <x v="10"/>
    <x v="8"/>
    <x v="3"/>
    <s v="S"/>
    <n v="1"/>
    <n v="220000"/>
    <n v="15"/>
    <x v="1"/>
    <n v="187000"/>
  </r>
  <r>
    <s v="ORD-2132"/>
    <x v="333"/>
    <x v="19"/>
    <x v="0"/>
    <x v="0"/>
    <s v="S"/>
    <n v="2"/>
    <n v="420000"/>
    <n v="5"/>
    <x v="1"/>
    <n v="798000"/>
  </r>
  <r>
    <s v="ORD-1970"/>
    <x v="111"/>
    <x v="29"/>
    <x v="21"/>
    <x v="1"/>
    <s v="M"/>
    <n v="2"/>
    <n v="280000"/>
    <n v="15"/>
    <x v="0"/>
    <n v="476000"/>
  </r>
  <r>
    <s v="ORD-1979"/>
    <x v="67"/>
    <x v="1"/>
    <x v="0"/>
    <x v="0"/>
    <s v="L"/>
    <n v="1"/>
    <n v="420000"/>
    <n v="5"/>
    <x v="1"/>
    <n v="399000"/>
  </r>
  <r>
    <s v="ORD-1876"/>
    <x v="238"/>
    <x v="16"/>
    <x v="12"/>
    <x v="7"/>
    <s v="M"/>
    <n v="1"/>
    <n v="295000"/>
    <n v="10"/>
    <x v="2"/>
    <n v="265500"/>
  </r>
  <r>
    <s v="ORD-1925"/>
    <x v="152"/>
    <x v="3"/>
    <x v="2"/>
    <x v="2"/>
    <s v="M"/>
    <n v="2"/>
    <n v="182000"/>
    <n v="5"/>
    <x v="0"/>
    <n v="345800"/>
  </r>
  <r>
    <s v="ORD-1370"/>
    <x v="319"/>
    <x v="37"/>
    <x v="8"/>
    <x v="3"/>
    <s v="M"/>
    <n v="2"/>
    <n v="220000"/>
    <n v="5"/>
    <x v="1"/>
    <n v="418000"/>
  </r>
  <r>
    <s v="ORD-1602"/>
    <x v="267"/>
    <x v="18"/>
    <x v="13"/>
    <x v="8"/>
    <s v="L"/>
    <n v="2"/>
    <n v="395000"/>
    <n v="0"/>
    <x v="3"/>
    <n v="790000"/>
  </r>
  <r>
    <s v="ORD-1311"/>
    <x v="2"/>
    <x v="36"/>
    <x v="9"/>
    <x v="4"/>
    <s v="S"/>
    <n v="1"/>
    <n v="195000"/>
    <n v="0"/>
    <x v="0"/>
    <n v="195000"/>
  </r>
  <r>
    <s v="ORD-1358"/>
    <x v="98"/>
    <x v="1"/>
    <x v="0"/>
    <x v="0"/>
    <s v="L"/>
    <n v="2"/>
    <n v="420000"/>
    <n v="0"/>
    <x v="3"/>
    <n v="840000"/>
  </r>
  <r>
    <s v="ORD-1242"/>
    <x v="40"/>
    <x v="32"/>
    <x v="11"/>
    <x v="1"/>
    <s v="M"/>
    <n v="4"/>
    <n v="260000"/>
    <n v="0"/>
    <x v="1"/>
    <n v="1040000"/>
  </r>
  <r>
    <s v="ORD-1382"/>
    <x v="250"/>
    <x v="4"/>
    <x v="3"/>
    <x v="3"/>
    <s v="M"/>
    <n v="3"/>
    <n v="210000"/>
    <n v="5"/>
    <x v="1"/>
    <n v="598500"/>
  </r>
  <r>
    <s v="ORD-1328"/>
    <x v="155"/>
    <x v="18"/>
    <x v="13"/>
    <x v="8"/>
    <s v="L"/>
    <n v="1"/>
    <n v="395000"/>
    <n v="15"/>
    <x v="1"/>
    <n v="335750"/>
  </r>
  <r>
    <s v="ORD-1871"/>
    <x v="305"/>
    <x v="22"/>
    <x v="15"/>
    <x v="9"/>
    <s v="M"/>
    <n v="1"/>
    <n v="170000"/>
    <n v="0"/>
    <x v="0"/>
    <n v="170000"/>
  </r>
  <r>
    <s v="ORD-1018"/>
    <x v="65"/>
    <x v="30"/>
    <x v="16"/>
    <x v="0"/>
    <s v="S"/>
    <n v="1"/>
    <n v="430000"/>
    <n v="0"/>
    <x v="0"/>
    <n v="430000"/>
  </r>
  <r>
    <s v="ORD-1109"/>
    <x v="155"/>
    <x v="16"/>
    <x v="12"/>
    <x v="7"/>
    <s v="M"/>
    <n v="5"/>
    <n v="295000"/>
    <n v="0"/>
    <x v="1"/>
    <n v="1475000"/>
  </r>
  <r>
    <s v="ORD-1468"/>
    <x v="92"/>
    <x v="36"/>
    <x v="9"/>
    <x v="4"/>
    <s v="S"/>
    <n v="3"/>
    <n v="195000"/>
    <n v="0"/>
    <x v="2"/>
    <n v="585000"/>
  </r>
  <r>
    <s v="ORD-1710"/>
    <x v="268"/>
    <x v="35"/>
    <x v="13"/>
    <x v="8"/>
    <s v="M"/>
    <n v="4"/>
    <n v="395000"/>
    <n v="0"/>
    <x v="1"/>
    <n v="1580000"/>
  </r>
  <r>
    <s v="ORD-1684"/>
    <x v="47"/>
    <x v="8"/>
    <x v="7"/>
    <x v="3"/>
    <s v="L"/>
    <n v="-4"/>
    <n v="235000"/>
    <n v="0"/>
    <x v="1"/>
    <n v="-940000"/>
  </r>
  <r>
    <s v="ORD-1812"/>
    <x v="95"/>
    <x v="22"/>
    <x v="15"/>
    <x v="9"/>
    <s v="M"/>
    <n v="1"/>
    <n v="170000"/>
    <n v="0"/>
    <x v="4"/>
    <n v="170000"/>
  </r>
  <r>
    <s v="ORD-1222"/>
    <x v="279"/>
    <x v="37"/>
    <x v="8"/>
    <x v="3"/>
    <s v="M"/>
    <n v="1"/>
    <n v="220000"/>
    <n v="0"/>
    <x v="1"/>
    <n v="220000"/>
  </r>
  <r>
    <s v="ORD-1110"/>
    <x v="247"/>
    <x v="1"/>
    <x v="0"/>
    <x v="0"/>
    <s v="L"/>
    <n v="1"/>
    <n v="420000"/>
    <n v="20"/>
    <x v="1"/>
    <n v="336000"/>
  </r>
  <r>
    <s v="ORD-1592"/>
    <x v="222"/>
    <x v="1"/>
    <x v="0"/>
    <x v="0"/>
    <s v="L"/>
    <n v="3"/>
    <n v="420000"/>
    <n v="0"/>
    <x v="2"/>
    <n v="1260000"/>
  </r>
  <r>
    <s v="ORD-1689"/>
    <x v="176"/>
    <x v="8"/>
    <x v="7"/>
    <x v="3"/>
    <s v="L"/>
    <n v="2"/>
    <n v="235000"/>
    <n v="0"/>
    <x v="2"/>
    <n v="470000"/>
  </r>
  <r>
    <s v="ORD-1857"/>
    <x v="259"/>
    <x v="18"/>
    <x v="13"/>
    <x v="8"/>
    <s v="L"/>
    <n v="2"/>
    <n v="395000"/>
    <n v="5"/>
    <x v="2"/>
    <n v="750500"/>
  </r>
  <r>
    <s v="ORD-1377"/>
    <x v="152"/>
    <x v="12"/>
    <x v="10"/>
    <x v="6"/>
    <s v="S"/>
    <n v="-2"/>
    <n v="105000"/>
    <n v="0"/>
    <x v="0"/>
    <n v="-210000"/>
  </r>
  <r>
    <s v="ORD-2115"/>
    <x v="293"/>
    <x v="10"/>
    <x v="8"/>
    <x v="3"/>
    <s v="S"/>
    <n v="4"/>
    <n v="220000"/>
    <n v="5"/>
    <x v="1"/>
    <n v="836000"/>
  </r>
  <r>
    <s v="ORD-1141"/>
    <x v="199"/>
    <x v="5"/>
    <x v="4"/>
    <x v="3"/>
    <s v="L"/>
    <n v="4"/>
    <n v="215000"/>
    <n v="0"/>
    <x v="2"/>
    <n v="860000"/>
  </r>
  <r>
    <s v="ORD-1828"/>
    <x v="56"/>
    <x v="22"/>
    <x v="15"/>
    <x v="9"/>
    <s v="M"/>
    <n v="1"/>
    <n v="170000"/>
    <n v="15"/>
    <x v="0"/>
    <n v="144500"/>
  </r>
  <r>
    <s v="ORD-1528"/>
    <x v="333"/>
    <x v="24"/>
    <x v="17"/>
    <x v="3"/>
    <s v="M"/>
    <n v="3"/>
    <n v="210000"/>
    <n v="0"/>
    <x v="0"/>
    <n v="630000"/>
  </r>
  <r>
    <s v="ORD-1756"/>
    <x v="283"/>
    <x v="31"/>
    <x v="10"/>
    <x v="6"/>
    <s v="L"/>
    <n v="1"/>
    <n v="105000"/>
    <n v="5"/>
    <x v="1"/>
    <n v="99750"/>
  </r>
  <r>
    <s v="ORD-1496"/>
    <x v="7"/>
    <x v="33"/>
    <x v="22"/>
    <x v="7"/>
    <s v="M"/>
    <n v="1"/>
    <n v="330000"/>
    <n v="10"/>
    <x v="1"/>
    <n v="297000"/>
  </r>
  <r>
    <s v="ORD-1267"/>
    <x v="322"/>
    <x v="14"/>
    <x v="12"/>
    <x v="7"/>
    <s v="S"/>
    <n v="-3"/>
    <n v="295000"/>
    <n v="0"/>
    <x v="1"/>
    <n v="-885000"/>
  </r>
  <r>
    <s v="ORD-1870"/>
    <x v="334"/>
    <x v="12"/>
    <x v="10"/>
    <x v="6"/>
    <s v="S"/>
    <n v="2"/>
    <n v="105000"/>
    <n v="0"/>
    <x v="0"/>
    <n v="210000"/>
  </r>
  <r>
    <s v="ORD-2124"/>
    <x v="83"/>
    <x v="10"/>
    <x v="8"/>
    <x v="3"/>
    <s v="S"/>
    <n v="1"/>
    <n v="220000"/>
    <n v="0"/>
    <x v="1"/>
    <n v="220000"/>
  </r>
  <r>
    <s v="ORD-1037"/>
    <x v="263"/>
    <x v="16"/>
    <x v="12"/>
    <x v="7"/>
    <s v="M"/>
    <n v="1"/>
    <n v="295000"/>
    <n v="0"/>
    <x v="1"/>
    <n v="295000"/>
  </r>
  <r>
    <s v="ORD-1393"/>
    <x v="149"/>
    <x v="11"/>
    <x v="9"/>
    <x v="4"/>
    <s v="M"/>
    <n v="2"/>
    <n v="195000"/>
    <n v="0"/>
    <x v="1"/>
    <n v="390000"/>
  </r>
  <r>
    <s v="ORD-1452"/>
    <x v="180"/>
    <x v="37"/>
    <x v="8"/>
    <x v="3"/>
    <s v="M"/>
    <n v="1"/>
    <n v="220000"/>
    <n v="0"/>
    <x v="0"/>
    <n v="220000"/>
  </r>
  <r>
    <s v="ORD-1653"/>
    <x v="65"/>
    <x v="4"/>
    <x v="3"/>
    <x v="3"/>
    <s v="M"/>
    <n v="1"/>
    <n v="210000"/>
    <n v="0"/>
    <x v="0"/>
    <n v="210000"/>
  </r>
  <r>
    <s v="ORD-1631"/>
    <x v="335"/>
    <x v="9"/>
    <x v="7"/>
    <x v="3"/>
    <s v="M"/>
    <n v="1"/>
    <n v="235000"/>
    <n v="20"/>
    <x v="3"/>
    <n v="188000"/>
  </r>
  <r>
    <s v="ORD-1922"/>
    <x v="95"/>
    <x v="39"/>
    <x v="19"/>
    <x v="0"/>
    <s v="M"/>
    <n v="1"/>
    <n v="440000"/>
    <n v="10"/>
    <x v="0"/>
    <n v="396000"/>
  </r>
  <r>
    <s v="ORD-1059"/>
    <x v="212"/>
    <x v="2"/>
    <x v="1"/>
    <x v="1"/>
    <s v="M"/>
    <n v="1"/>
    <n v="265000"/>
    <n v="0"/>
    <x v="2"/>
    <n v="265000"/>
  </r>
  <r>
    <s v="ORD-2100"/>
    <x v="112"/>
    <x v="13"/>
    <x v="11"/>
    <x v="1"/>
    <s v="S"/>
    <n v="3"/>
    <n v="260000"/>
    <n v="0"/>
    <x v="1"/>
    <n v="780000"/>
  </r>
  <r>
    <s v="ORD-2196"/>
    <x v="54"/>
    <x v="37"/>
    <x v="8"/>
    <x v="3"/>
    <s v="M"/>
    <n v="1"/>
    <n v="220000"/>
    <n v="10"/>
    <x v="2"/>
    <n v="198000"/>
  </r>
  <r>
    <s v="ORD-1907"/>
    <x v="15"/>
    <x v="5"/>
    <x v="4"/>
    <x v="3"/>
    <s v="L"/>
    <n v="1"/>
    <n v="215000"/>
    <n v="0"/>
    <x v="0"/>
    <n v="215000"/>
  </r>
  <r>
    <s v="ORD-2003"/>
    <x v="190"/>
    <x v="28"/>
    <x v="20"/>
    <x v="10"/>
    <s v="M"/>
    <n v="1"/>
    <n v="228000"/>
    <n v="0"/>
    <x v="1"/>
    <n v="228000"/>
  </r>
  <r>
    <s v="ORD-1745"/>
    <x v="79"/>
    <x v="0"/>
    <x v="0"/>
    <x v="0"/>
    <s v="M"/>
    <n v="1"/>
    <n v="420000"/>
    <n v="0"/>
    <x v="4"/>
    <n v="420000"/>
  </r>
  <r>
    <s v="ORD-1867"/>
    <x v="246"/>
    <x v="28"/>
    <x v="20"/>
    <x v="10"/>
    <s v="M"/>
    <n v="3"/>
    <n v="228000"/>
    <n v="0"/>
    <x v="1"/>
    <n v="684000"/>
  </r>
  <r>
    <s v="ORD-1644"/>
    <x v="95"/>
    <x v="8"/>
    <x v="7"/>
    <x v="3"/>
    <s v="L"/>
    <n v="2"/>
    <n v="235000"/>
    <n v="0"/>
    <x v="0"/>
    <n v="470000"/>
  </r>
  <r>
    <s v="ORD-1636"/>
    <x v="74"/>
    <x v="27"/>
    <x v="19"/>
    <x v="0"/>
    <s v="L"/>
    <n v="2"/>
    <n v="440000"/>
    <n v="0"/>
    <x v="3"/>
    <n v="880000"/>
  </r>
  <r>
    <s v="ORD-1029"/>
    <x v="137"/>
    <x v="19"/>
    <x v="0"/>
    <x v="0"/>
    <s v="S"/>
    <n v="1"/>
    <n v="420000"/>
    <n v="0"/>
    <x v="3"/>
    <n v="420000"/>
  </r>
  <r>
    <s v="ORD-1331"/>
    <x v="32"/>
    <x v="0"/>
    <x v="0"/>
    <x v="0"/>
    <s v="M"/>
    <n v="3"/>
    <n v="420000"/>
    <n v="0"/>
    <x v="3"/>
    <n v="1260000"/>
  </r>
  <r>
    <s v="ORD-1536"/>
    <x v="11"/>
    <x v="0"/>
    <x v="0"/>
    <x v="0"/>
    <s v="M"/>
    <n v="2"/>
    <n v="420000"/>
    <n v="0"/>
    <x v="3"/>
    <n v="840000"/>
  </r>
  <r>
    <s v="ORD-1892"/>
    <x v="18"/>
    <x v="12"/>
    <x v="10"/>
    <x v="6"/>
    <s v="S"/>
    <n v="2"/>
    <n v="105000"/>
    <n v="0"/>
    <x v="1"/>
    <n v="210000"/>
  </r>
  <r>
    <s v="ORD-1669"/>
    <x v="276"/>
    <x v="10"/>
    <x v="8"/>
    <x v="3"/>
    <s v="S"/>
    <n v="2"/>
    <n v="220000"/>
    <n v="0"/>
    <x v="0"/>
    <n v="440000"/>
  </r>
  <r>
    <s v="ORD-1102"/>
    <x v="267"/>
    <x v="35"/>
    <x v="13"/>
    <x v="8"/>
    <s v="M"/>
    <n v="3"/>
    <n v="395000"/>
    <n v="0"/>
    <x v="2"/>
    <n v="1185000"/>
  </r>
  <r>
    <s v="ORD-1840"/>
    <x v="32"/>
    <x v="5"/>
    <x v="4"/>
    <x v="3"/>
    <s v="L"/>
    <n v="1"/>
    <n v="215000"/>
    <n v="0"/>
    <x v="3"/>
    <n v="215000"/>
  </r>
  <r>
    <s v="ORD-2018"/>
    <x v="336"/>
    <x v="18"/>
    <x v="13"/>
    <x v="8"/>
    <s v="L"/>
    <n v="1"/>
    <n v="395000"/>
    <n v="5"/>
    <x v="3"/>
    <n v="375250"/>
  </r>
  <r>
    <s v="ORD-1883"/>
    <x v="263"/>
    <x v="8"/>
    <x v="7"/>
    <x v="3"/>
    <s v="L"/>
    <n v="1"/>
    <n v="235000"/>
    <n v="0"/>
    <x v="3"/>
    <n v="235000"/>
  </r>
  <r>
    <s v="ORD-1890"/>
    <x v="334"/>
    <x v="21"/>
    <x v="8"/>
    <x v="3"/>
    <s v="L"/>
    <n v="2"/>
    <n v="220000"/>
    <n v="5"/>
    <x v="0"/>
    <n v="418000"/>
  </r>
  <r>
    <s v="ORD-2140"/>
    <x v="337"/>
    <x v="28"/>
    <x v="20"/>
    <x v="10"/>
    <s v="M"/>
    <n v="1"/>
    <n v="228000"/>
    <n v="10"/>
    <x v="4"/>
    <n v="205200"/>
  </r>
  <r>
    <s v="ORD-1561"/>
    <x v="108"/>
    <x v="13"/>
    <x v="11"/>
    <x v="1"/>
    <s v="S"/>
    <n v="2"/>
    <n v="260000"/>
    <n v="0"/>
    <x v="1"/>
    <n v="520000"/>
  </r>
  <r>
    <s v="ORD-1768"/>
    <x v="120"/>
    <x v="32"/>
    <x v="11"/>
    <x v="1"/>
    <s v="Unknown"/>
    <n v="1"/>
    <n v="260000"/>
    <n v="0"/>
    <x v="0"/>
    <n v="260000"/>
  </r>
  <r>
    <s v="ORD-1770"/>
    <x v="50"/>
    <x v="24"/>
    <x v="17"/>
    <x v="3"/>
    <s v="M"/>
    <n v="2"/>
    <n v="210000"/>
    <n v="0"/>
    <x v="0"/>
    <n v="420000"/>
  </r>
  <r>
    <s v="ORD-1600"/>
    <x v="231"/>
    <x v="5"/>
    <x v="4"/>
    <x v="3"/>
    <s v="L"/>
    <n v="2"/>
    <n v="215000"/>
    <n v="0"/>
    <x v="1"/>
    <n v="430000"/>
  </r>
  <r>
    <s v="ORD-1096"/>
    <x v="230"/>
    <x v="28"/>
    <x v="20"/>
    <x v="10"/>
    <s v="M"/>
    <n v="1"/>
    <n v="228000"/>
    <n v="0"/>
    <x v="1"/>
    <n v="228000"/>
  </r>
  <r>
    <s v="ORD-1366"/>
    <x v="120"/>
    <x v="21"/>
    <x v="8"/>
    <x v="3"/>
    <s v="L"/>
    <n v="1"/>
    <n v="220000"/>
    <n v="0"/>
    <x v="1"/>
    <n v="220000"/>
  </r>
  <r>
    <s v="ORD-1512"/>
    <x v="224"/>
    <x v="22"/>
    <x v="15"/>
    <x v="9"/>
    <s v="M"/>
    <n v="1"/>
    <n v="170000"/>
    <n v="0"/>
    <x v="1"/>
    <n v="170000"/>
  </r>
  <r>
    <s v="ORD-2086"/>
    <x v="333"/>
    <x v="6"/>
    <x v="5"/>
    <x v="4"/>
    <s v="M"/>
    <n v="1"/>
    <n v="198000"/>
    <n v="10"/>
    <x v="1"/>
    <n v="178200"/>
  </r>
  <r>
    <s v="ORD-1611"/>
    <x v="188"/>
    <x v="12"/>
    <x v="10"/>
    <x v="6"/>
    <s v="S"/>
    <n v="1"/>
    <n v="105000"/>
    <n v="0"/>
    <x v="2"/>
    <n v="105000"/>
  </r>
  <r>
    <s v="ORD-1278"/>
    <x v="337"/>
    <x v="2"/>
    <x v="1"/>
    <x v="1"/>
    <s v="M"/>
    <n v="2"/>
    <n v="265000"/>
    <n v="0"/>
    <x v="1"/>
    <n v="530000"/>
  </r>
  <r>
    <s v="ORD-1616"/>
    <x v="7"/>
    <x v="37"/>
    <x v="8"/>
    <x v="3"/>
    <s v="M"/>
    <n v="5"/>
    <n v="220000"/>
    <n v="0"/>
    <x v="0"/>
    <n v="1100000"/>
  </r>
  <r>
    <s v="ORD-1050"/>
    <x v="186"/>
    <x v="8"/>
    <x v="7"/>
    <x v="3"/>
    <s v="L"/>
    <n v="1"/>
    <n v="235000"/>
    <n v="0"/>
    <x v="0"/>
    <n v="235000"/>
  </r>
  <r>
    <s v="ORD-2193"/>
    <x v="11"/>
    <x v="20"/>
    <x v="14"/>
    <x v="0"/>
    <s v="M"/>
    <n v="2"/>
    <n v="425000"/>
    <n v="10"/>
    <x v="0"/>
    <n v="765000"/>
  </r>
  <r>
    <s v="ORD-1015"/>
    <x v="114"/>
    <x v="9"/>
    <x v="7"/>
    <x v="3"/>
    <s v="M"/>
    <n v="-1"/>
    <n v="235000"/>
    <n v="10"/>
    <x v="1"/>
    <n v="-211500"/>
  </r>
  <r>
    <s v="ORD-1994"/>
    <x v="43"/>
    <x v="31"/>
    <x v="10"/>
    <x v="6"/>
    <s v="L"/>
    <n v="1"/>
    <n v="105000"/>
    <n v="0"/>
    <x v="3"/>
    <n v="105000"/>
  </r>
  <r>
    <s v="ORD-1776"/>
    <x v="264"/>
    <x v="23"/>
    <x v="16"/>
    <x v="0"/>
    <s v="M"/>
    <n v="3"/>
    <n v="430000"/>
    <n v="0"/>
    <x v="1"/>
    <n v="1290000"/>
  </r>
  <r>
    <s v="ORD-1114"/>
    <x v="169"/>
    <x v="37"/>
    <x v="8"/>
    <x v="3"/>
    <s v="M"/>
    <n v="4"/>
    <n v="220000"/>
    <n v="10"/>
    <x v="3"/>
    <n v="792000"/>
  </r>
  <r>
    <s v="ORD-1762"/>
    <x v="163"/>
    <x v="16"/>
    <x v="12"/>
    <x v="7"/>
    <s v="M"/>
    <n v="2"/>
    <n v="295000"/>
    <n v="5"/>
    <x v="3"/>
    <n v="560500"/>
  </r>
  <r>
    <s v="ORD-1671"/>
    <x v="53"/>
    <x v="18"/>
    <x v="13"/>
    <x v="8"/>
    <s v="L"/>
    <n v="1"/>
    <n v="395000"/>
    <n v="0"/>
    <x v="1"/>
    <n v="395000"/>
  </r>
  <r>
    <s v="ORD-1532"/>
    <x v="338"/>
    <x v="12"/>
    <x v="10"/>
    <x v="6"/>
    <s v="S"/>
    <n v="2"/>
    <n v="105000"/>
    <n v="0"/>
    <x v="1"/>
    <n v="210000"/>
  </r>
  <r>
    <s v="ORD-2054"/>
    <x v="84"/>
    <x v="0"/>
    <x v="0"/>
    <x v="0"/>
    <s v="M"/>
    <n v="2"/>
    <n v="420000"/>
    <n v="0"/>
    <x v="1"/>
    <n v="840000"/>
  </r>
  <r>
    <s v="ORD-1204"/>
    <x v="174"/>
    <x v="28"/>
    <x v="20"/>
    <x v="10"/>
    <s v="M"/>
    <n v="1"/>
    <n v="228000"/>
    <n v="0"/>
    <x v="0"/>
    <n v="228000"/>
  </r>
  <r>
    <s v="ORD-1257"/>
    <x v="230"/>
    <x v="3"/>
    <x v="2"/>
    <x v="2"/>
    <s v="M"/>
    <n v="2"/>
    <n v="182000"/>
    <n v="0"/>
    <x v="3"/>
    <n v="364000"/>
  </r>
  <r>
    <s v="ORD-1841"/>
    <x v="187"/>
    <x v="22"/>
    <x v="15"/>
    <x v="9"/>
    <s v="M"/>
    <n v="2"/>
    <n v="170000"/>
    <n v="0"/>
    <x v="2"/>
    <n v="340000"/>
  </r>
  <r>
    <s v="ORD-1105"/>
    <x v="304"/>
    <x v="35"/>
    <x v="13"/>
    <x v="8"/>
    <s v="M"/>
    <n v="5"/>
    <n v="395000"/>
    <n v="0"/>
    <x v="1"/>
    <n v="1975000"/>
  </r>
  <r>
    <s v="ORD-1643"/>
    <x v="158"/>
    <x v="10"/>
    <x v="8"/>
    <x v="3"/>
    <s v="S"/>
    <n v="3"/>
    <n v="220000"/>
    <n v="0"/>
    <x v="1"/>
    <n v="660000"/>
  </r>
  <r>
    <s v="ORD-1862"/>
    <x v="48"/>
    <x v="33"/>
    <x v="22"/>
    <x v="7"/>
    <s v="M"/>
    <n v="1"/>
    <n v="330000"/>
    <n v="0"/>
    <x v="3"/>
    <n v="330000"/>
  </r>
  <r>
    <s v="ORD-1424"/>
    <x v="241"/>
    <x v="36"/>
    <x v="9"/>
    <x v="4"/>
    <s v="S"/>
    <n v="2"/>
    <n v="195000"/>
    <n v="5"/>
    <x v="1"/>
    <n v="370500"/>
  </r>
  <r>
    <s v="ORD-1808"/>
    <x v="30"/>
    <x v="31"/>
    <x v="10"/>
    <x v="6"/>
    <s v="L"/>
    <n v="2"/>
    <n v="105000"/>
    <n v="5"/>
    <x v="1"/>
    <n v="199500"/>
  </r>
  <r>
    <s v="ORD-2137"/>
    <x v="214"/>
    <x v="18"/>
    <x v="13"/>
    <x v="8"/>
    <s v="L"/>
    <n v="1"/>
    <n v="395000"/>
    <n v="10"/>
    <x v="1"/>
    <n v="355500"/>
  </r>
  <r>
    <s v="ORD-2101"/>
    <x v="267"/>
    <x v="25"/>
    <x v="10"/>
    <x v="6"/>
    <s v="M"/>
    <n v="2"/>
    <n v="105000"/>
    <n v="20"/>
    <x v="1"/>
    <n v="168000"/>
  </r>
  <r>
    <s v="ORD-1465"/>
    <x v="9"/>
    <x v="25"/>
    <x v="10"/>
    <x v="6"/>
    <s v="M"/>
    <n v="2"/>
    <n v="105000"/>
    <n v="0"/>
    <x v="0"/>
    <n v="210000"/>
  </r>
  <r>
    <s v="ORD-1126"/>
    <x v="26"/>
    <x v="3"/>
    <x v="2"/>
    <x v="2"/>
    <s v="M"/>
    <n v="5"/>
    <n v="182000"/>
    <n v="5"/>
    <x v="1"/>
    <n v="864500"/>
  </r>
  <r>
    <s v="ORD-1865"/>
    <x v="68"/>
    <x v="6"/>
    <x v="5"/>
    <x v="4"/>
    <s v="M"/>
    <n v="-1"/>
    <n v="198000"/>
    <n v="0"/>
    <x v="0"/>
    <n v="-198000"/>
  </r>
  <r>
    <s v="ORD-1160"/>
    <x v="29"/>
    <x v="1"/>
    <x v="0"/>
    <x v="0"/>
    <s v="Unknown"/>
    <n v="3"/>
    <n v="420000"/>
    <n v="10"/>
    <x v="0"/>
    <n v="1134000"/>
  </r>
  <r>
    <s v="ORD-1971"/>
    <x v="16"/>
    <x v="10"/>
    <x v="8"/>
    <x v="3"/>
    <s v="S"/>
    <n v="2"/>
    <n v="220000"/>
    <n v="0"/>
    <x v="0"/>
    <n v="440000"/>
  </r>
  <r>
    <s v="ORD-1144"/>
    <x v="309"/>
    <x v="38"/>
    <x v="15"/>
    <x v="9"/>
    <s v="S"/>
    <n v="5"/>
    <n v="170000"/>
    <n v="10"/>
    <x v="0"/>
    <n v="765000"/>
  </r>
  <r>
    <s v="ORD-1232"/>
    <x v="1"/>
    <x v="0"/>
    <x v="0"/>
    <x v="0"/>
    <s v="M"/>
    <n v="1"/>
    <n v="420000"/>
    <n v="0"/>
    <x v="0"/>
    <n v="420000"/>
  </r>
  <r>
    <s v="ORD-1719"/>
    <x v="229"/>
    <x v="26"/>
    <x v="18"/>
    <x v="7"/>
    <s v="M"/>
    <n v="3"/>
    <n v="335000"/>
    <n v="10"/>
    <x v="1"/>
    <n v="904500"/>
  </r>
  <r>
    <s v="ORD-1091"/>
    <x v="325"/>
    <x v="30"/>
    <x v="16"/>
    <x v="0"/>
    <s v="S"/>
    <n v="1"/>
    <n v="430000"/>
    <n v="0"/>
    <x v="1"/>
    <n v="430000"/>
  </r>
  <r>
    <s v="ORD-1781"/>
    <x v="31"/>
    <x v="18"/>
    <x v="13"/>
    <x v="8"/>
    <s v="L"/>
    <n v="1"/>
    <n v="395000"/>
    <n v="0"/>
    <x v="1"/>
    <n v="395000"/>
  </r>
  <r>
    <s v="ORD-1504"/>
    <x v="137"/>
    <x v="18"/>
    <x v="13"/>
    <x v="8"/>
    <s v="L"/>
    <n v="2"/>
    <n v="395000"/>
    <n v="20"/>
    <x v="1"/>
    <n v="632000"/>
  </r>
  <r>
    <s v="ORD-1739"/>
    <x v="287"/>
    <x v="32"/>
    <x v="11"/>
    <x v="1"/>
    <s v="M"/>
    <n v="1"/>
    <n v="260000"/>
    <n v="5"/>
    <x v="0"/>
    <n v="247000"/>
  </r>
  <r>
    <s v="ORD-1978"/>
    <x v="158"/>
    <x v="39"/>
    <x v="19"/>
    <x v="0"/>
    <s v="Unknown"/>
    <n v="2"/>
    <n v="440000"/>
    <n v="0"/>
    <x v="0"/>
    <n v="880000"/>
  </r>
  <r>
    <s v="ORD-1119"/>
    <x v="137"/>
    <x v="31"/>
    <x v="10"/>
    <x v="6"/>
    <s v="L"/>
    <n v="3"/>
    <n v="105000"/>
    <n v="0"/>
    <x v="3"/>
    <n v="315000"/>
  </r>
  <r>
    <s v="ORD-1369"/>
    <x v="328"/>
    <x v="0"/>
    <x v="0"/>
    <x v="0"/>
    <s v="M"/>
    <n v="1"/>
    <n v="420000"/>
    <n v="10"/>
    <x v="1"/>
    <n v="378000"/>
  </r>
  <r>
    <s v="ORD-1254"/>
    <x v="289"/>
    <x v="22"/>
    <x v="15"/>
    <x v="9"/>
    <s v="M"/>
    <n v="1"/>
    <n v="170000"/>
    <n v="0"/>
    <x v="1"/>
    <n v="170000"/>
  </r>
  <r>
    <s v="ORD-1226"/>
    <x v="125"/>
    <x v="33"/>
    <x v="22"/>
    <x v="7"/>
    <s v="M"/>
    <n v="1"/>
    <n v="330000"/>
    <n v="0"/>
    <x v="1"/>
    <n v="330000"/>
  </r>
  <r>
    <s v="ORD-1100"/>
    <x v="11"/>
    <x v="25"/>
    <x v="10"/>
    <x v="6"/>
    <s v="M"/>
    <n v="3"/>
    <n v="105000"/>
    <n v="10"/>
    <x v="1"/>
    <n v="283500"/>
  </r>
  <r>
    <s v="ORD-1642"/>
    <x v="176"/>
    <x v="9"/>
    <x v="7"/>
    <x v="3"/>
    <s v="M"/>
    <n v="2"/>
    <n v="235000"/>
    <n v="0"/>
    <x v="1"/>
    <n v="470000"/>
  </r>
  <r>
    <s v="ORD-1534"/>
    <x v="114"/>
    <x v="32"/>
    <x v="11"/>
    <x v="1"/>
    <s v="M"/>
    <n v="5"/>
    <n v="260000"/>
    <n v="0"/>
    <x v="0"/>
    <n v="1300000"/>
  </r>
  <r>
    <s v="ORD-1696"/>
    <x v="169"/>
    <x v="9"/>
    <x v="7"/>
    <x v="3"/>
    <s v="M"/>
    <n v="1"/>
    <n v="235000"/>
    <n v="5"/>
    <x v="2"/>
    <n v="223250"/>
  </r>
  <r>
    <s v="ORD-1670"/>
    <x v="339"/>
    <x v="26"/>
    <x v="18"/>
    <x v="7"/>
    <s v="M"/>
    <n v="3"/>
    <n v="335000"/>
    <n v="0"/>
    <x v="0"/>
    <n v="1005000"/>
  </r>
  <r>
    <s v="ORD-1184"/>
    <x v="278"/>
    <x v="14"/>
    <x v="12"/>
    <x v="7"/>
    <s v="S"/>
    <n v="3"/>
    <n v="295000"/>
    <n v="0"/>
    <x v="1"/>
    <n v="885000"/>
  </r>
  <r>
    <s v="ORD-1639"/>
    <x v="12"/>
    <x v="4"/>
    <x v="3"/>
    <x v="3"/>
    <s v="M"/>
    <n v="1"/>
    <n v="210000"/>
    <n v="20"/>
    <x v="0"/>
    <n v="168000"/>
  </r>
  <r>
    <s v="ORD-2161"/>
    <x v="152"/>
    <x v="31"/>
    <x v="10"/>
    <x v="6"/>
    <s v="L"/>
    <n v="1"/>
    <n v="105000"/>
    <n v="10"/>
    <x v="0"/>
    <n v="94500"/>
  </r>
  <r>
    <s v="ORD-1780"/>
    <x v="92"/>
    <x v="26"/>
    <x v="18"/>
    <x v="7"/>
    <s v="M"/>
    <n v="5"/>
    <n v="335000"/>
    <n v="0"/>
    <x v="0"/>
    <n v="1675000"/>
  </r>
  <r>
    <s v="ORD-2037"/>
    <x v="340"/>
    <x v="23"/>
    <x v="16"/>
    <x v="0"/>
    <s v="M"/>
    <n v="2"/>
    <n v="430000"/>
    <n v="5"/>
    <x v="0"/>
    <n v="817000"/>
  </r>
  <r>
    <s v="ORD-1638"/>
    <x v="200"/>
    <x v="25"/>
    <x v="10"/>
    <x v="6"/>
    <s v="M"/>
    <n v="1"/>
    <n v="105000"/>
    <n v="0"/>
    <x v="1"/>
    <n v="105000"/>
  </r>
  <r>
    <s v="ORD-1901"/>
    <x v="264"/>
    <x v="9"/>
    <x v="7"/>
    <x v="3"/>
    <s v="M"/>
    <n v="3"/>
    <n v="235000"/>
    <n v="0"/>
    <x v="0"/>
    <n v="705000"/>
  </r>
  <r>
    <s v="ORD-2125"/>
    <x v="165"/>
    <x v="39"/>
    <x v="19"/>
    <x v="0"/>
    <s v="M"/>
    <n v="-1"/>
    <n v="440000"/>
    <n v="0"/>
    <x v="1"/>
    <n v="-440000"/>
  </r>
  <r>
    <s v="ORD-1810"/>
    <x v="39"/>
    <x v="22"/>
    <x v="15"/>
    <x v="9"/>
    <s v="M"/>
    <n v="1"/>
    <n v="170000"/>
    <n v="0"/>
    <x v="0"/>
    <n v="170000"/>
  </r>
  <r>
    <s v="ORD-2191"/>
    <x v="12"/>
    <x v="10"/>
    <x v="8"/>
    <x v="3"/>
    <s v="S"/>
    <n v="1"/>
    <n v="220000"/>
    <n v="5"/>
    <x v="1"/>
    <n v="209000"/>
  </r>
  <r>
    <s v="ORD-1509"/>
    <x v="55"/>
    <x v="4"/>
    <x v="3"/>
    <x v="3"/>
    <s v="M"/>
    <n v="4"/>
    <n v="210000"/>
    <n v="10"/>
    <x v="1"/>
    <n v="756000"/>
  </r>
  <r>
    <s v="ORD-2102"/>
    <x v="163"/>
    <x v="23"/>
    <x v="16"/>
    <x v="0"/>
    <s v="M"/>
    <n v="3"/>
    <n v="430000"/>
    <n v="10"/>
    <x v="3"/>
    <n v="1161000"/>
  </r>
  <r>
    <s v="ORD-1864"/>
    <x v="141"/>
    <x v="27"/>
    <x v="19"/>
    <x v="0"/>
    <s v="L"/>
    <n v="1"/>
    <n v="440000"/>
    <n v="0"/>
    <x v="1"/>
    <n v="440000"/>
  </r>
  <r>
    <s v="ORD-2118"/>
    <x v="15"/>
    <x v="7"/>
    <x v="6"/>
    <x v="5"/>
    <s v="M"/>
    <n v="2"/>
    <n v="320000"/>
    <n v="0"/>
    <x v="1"/>
    <n v="640000"/>
  </r>
  <r>
    <s v="ORD-1542"/>
    <x v="341"/>
    <x v="26"/>
    <x v="18"/>
    <x v="7"/>
    <s v="Unknown"/>
    <n v="2"/>
    <n v="335000"/>
    <n v="0"/>
    <x v="3"/>
    <n v="670000"/>
  </r>
  <r>
    <s v="ORD-1771"/>
    <x v="280"/>
    <x v="1"/>
    <x v="0"/>
    <x v="0"/>
    <s v="L"/>
    <n v="2"/>
    <n v="420000"/>
    <n v="0"/>
    <x v="0"/>
    <n v="840000"/>
  </r>
  <r>
    <s v="ORD-1807"/>
    <x v="224"/>
    <x v="32"/>
    <x v="11"/>
    <x v="1"/>
    <s v="M"/>
    <n v="4"/>
    <n v="260000"/>
    <n v="0"/>
    <x v="0"/>
    <n v="10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A3309-1425-446B-96B3-51813A84B2FD}"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B3:E16" firstHeaderRow="0" firstDataRow="1" firstDataCol="1"/>
  <pivotFields count="14">
    <pivotField dataField="1" showAll="0"/>
    <pivotField numFmtId="165" showAll="0">
      <items count="343">
        <item x="286"/>
        <item x="287"/>
        <item x="122"/>
        <item x="157"/>
        <item x="265"/>
        <item x="313"/>
        <item x="179"/>
        <item x="58"/>
        <item x="254"/>
        <item x="178"/>
        <item x="235"/>
        <item x="211"/>
        <item x="304"/>
        <item x="88"/>
        <item x="125"/>
        <item x="266"/>
        <item x="272"/>
        <item x="303"/>
        <item x="340"/>
        <item x="261"/>
        <item x="251"/>
        <item x="302"/>
        <item x="183"/>
        <item x="262"/>
        <item x="335"/>
        <item x="320"/>
        <item x="194"/>
        <item x="331"/>
        <item x="99"/>
        <item x="257"/>
        <item x="54"/>
        <item x="245"/>
        <item x="117"/>
        <item x="112"/>
        <item x="144"/>
        <item x="311"/>
        <item x="239"/>
        <item x="62"/>
        <item x="298"/>
        <item x="101"/>
        <item x="184"/>
        <item x="171"/>
        <item x="222"/>
        <item x="199"/>
        <item x="273"/>
        <item x="155"/>
        <item x="338"/>
        <item x="230"/>
        <item x="297"/>
        <item x="231"/>
        <item x="216"/>
        <item x="337"/>
        <item x="80"/>
        <item x="196"/>
        <item x="9"/>
        <item x="258"/>
        <item x="325"/>
        <item x="59"/>
        <item x="77"/>
        <item x="49"/>
        <item x="290"/>
        <item x="44"/>
        <item x="92"/>
        <item x="43"/>
        <item x="38"/>
        <item x="127"/>
        <item x="65"/>
        <item x="89"/>
        <item x="263"/>
        <item x="114"/>
        <item x="3"/>
        <item x="323"/>
        <item x="63"/>
        <item x="18"/>
        <item x="134"/>
        <item x="136"/>
        <item x="68"/>
        <item x="53"/>
        <item x="115"/>
        <item x="226"/>
        <item x="20"/>
        <item x="61"/>
        <item x="29"/>
        <item x="243"/>
        <item x="48"/>
        <item x="212"/>
        <item x="149"/>
        <item x="16"/>
        <item x="220"/>
        <item x="307"/>
        <item x="255"/>
        <item x="137"/>
        <item x="146"/>
        <item x="202"/>
        <item x="277"/>
        <item x="259"/>
        <item x="249"/>
        <item x="232"/>
        <item x="219"/>
        <item x="14"/>
        <item x="163"/>
        <item x="319"/>
        <item x="284"/>
        <item x="12"/>
        <item x="305"/>
        <item x="201"/>
        <item x="73"/>
        <item x="260"/>
        <item x="172"/>
        <item x="326"/>
        <item x="192"/>
        <item x="132"/>
        <item x="105"/>
        <item x="129"/>
        <item x="316"/>
        <item x="190"/>
        <item x="135"/>
        <item x="223"/>
        <item x="292"/>
        <item x="165"/>
        <item x="100"/>
        <item x="208"/>
        <item x="96"/>
        <item x="271"/>
        <item x="110"/>
        <item x="26"/>
        <item x="330"/>
        <item x="152"/>
        <item x="4"/>
        <item x="41"/>
        <item x="6"/>
        <item x="334"/>
        <item x="0"/>
        <item x="130"/>
        <item x="40"/>
        <item x="145"/>
        <item x="1"/>
        <item x="106"/>
        <item x="228"/>
        <item x="193"/>
        <item x="295"/>
        <item x="131"/>
        <item x="138"/>
        <item x="13"/>
        <item x="128"/>
        <item x="333"/>
        <item x="301"/>
        <item x="270"/>
        <item x="280"/>
        <item x="215"/>
        <item x="142"/>
        <item x="85"/>
        <item x="103"/>
        <item x="234"/>
        <item x="289"/>
        <item x="83"/>
        <item x="336"/>
        <item x="285"/>
        <item x="318"/>
        <item x="104"/>
        <item x="121"/>
        <item x="309"/>
        <item x="189"/>
        <item x="299"/>
        <item x="94"/>
        <item x="133"/>
        <item x="210"/>
        <item x="269"/>
        <item x="256"/>
        <item x="156"/>
        <item x="79"/>
        <item x="329"/>
        <item x="35"/>
        <item x="182"/>
        <item x="50"/>
        <item x="206"/>
        <item x="203"/>
        <item x="87"/>
        <item x="324"/>
        <item x="67"/>
        <item x="250"/>
        <item x="51"/>
        <item x="56"/>
        <item x="310"/>
        <item x="141"/>
        <item x="81"/>
        <item x="124"/>
        <item x="151"/>
        <item x="126"/>
        <item x="8"/>
        <item x="123"/>
        <item x="84"/>
        <item x="177"/>
        <item x="328"/>
        <item x="78"/>
        <item x="27"/>
        <item x="248"/>
        <item x="21"/>
        <item x="214"/>
        <item x="22"/>
        <item x="312"/>
        <item x="195"/>
        <item x="204"/>
        <item x="57"/>
        <item x="240"/>
        <item x="159"/>
        <item x="169"/>
        <item x="52"/>
        <item x="300"/>
        <item x="229"/>
        <item x="306"/>
        <item x="268"/>
        <item x="91"/>
        <item x="281"/>
        <item x="252"/>
        <item x="191"/>
        <item x="291"/>
        <item x="217"/>
        <item x="233"/>
        <item x="86"/>
        <item x="175"/>
        <item x="288"/>
        <item x="238"/>
        <item x="158"/>
        <item x="36"/>
        <item x="15"/>
        <item x="275"/>
        <item x="267"/>
        <item x="186"/>
        <item x="140"/>
        <item x="332"/>
        <item x="7"/>
        <item x="97"/>
        <item x="187"/>
        <item x="32"/>
        <item x="82"/>
        <item x="45"/>
        <item x="317"/>
        <item x="227"/>
        <item x="296"/>
        <item x="75"/>
        <item x="241"/>
        <item x="143"/>
        <item x="113"/>
        <item x="283"/>
        <item x="294"/>
        <item x="148"/>
        <item x="46"/>
        <item x="19"/>
        <item x="322"/>
        <item x="39"/>
        <item x="72"/>
        <item x="164"/>
        <item x="30"/>
        <item x="218"/>
        <item x="276"/>
        <item x="161"/>
        <item x="90"/>
        <item x="120"/>
        <item x="314"/>
        <item x="197"/>
        <item x="205"/>
        <item x="293"/>
        <item x="76"/>
        <item x="166"/>
        <item x="237"/>
        <item x="74"/>
        <item x="181"/>
        <item x="170"/>
        <item x="34"/>
        <item x="327"/>
        <item x="321"/>
        <item x="23"/>
        <item x="185"/>
        <item x="242"/>
        <item x="69"/>
        <item x="224"/>
        <item x="247"/>
        <item x="31"/>
        <item x="111"/>
        <item x="279"/>
        <item x="17"/>
        <item x="93"/>
        <item x="167"/>
        <item x="47"/>
        <item x="160"/>
        <item x="118"/>
        <item x="10"/>
        <item x="64"/>
        <item x="147"/>
        <item x="213"/>
        <item x="221"/>
        <item x="55"/>
        <item x="119"/>
        <item x="173"/>
        <item x="188"/>
        <item x="2"/>
        <item x="102"/>
        <item x="150"/>
        <item x="253"/>
        <item x="33"/>
        <item x="28"/>
        <item x="107"/>
        <item x="24"/>
        <item x="225"/>
        <item x="60"/>
        <item x="308"/>
        <item x="25"/>
        <item x="236"/>
        <item x="70"/>
        <item x="244"/>
        <item x="108"/>
        <item x="37"/>
        <item x="162"/>
        <item x="139"/>
        <item x="176"/>
        <item x="98"/>
        <item x="278"/>
        <item x="109"/>
        <item x="66"/>
        <item x="315"/>
        <item x="153"/>
        <item x="174"/>
        <item x="198"/>
        <item x="274"/>
        <item x="207"/>
        <item x="42"/>
        <item x="5"/>
        <item x="154"/>
        <item x="95"/>
        <item x="209"/>
        <item x="11"/>
        <item x="246"/>
        <item x="264"/>
        <item x="180"/>
        <item x="116"/>
        <item x="71"/>
        <item x="200"/>
        <item x="282"/>
        <item x="168"/>
        <item x="339"/>
        <item x="341"/>
        <item t="default"/>
      </items>
    </pivotField>
    <pivotField showAll="0"/>
    <pivotField showAll="0"/>
    <pivotField showAll="0"/>
    <pivotField showAll="0"/>
    <pivotField dataField="1"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24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955"/>
        <item sd="0" x="956"/>
        <item sd="0" x="957"/>
        <item sd="0" x="958"/>
        <item sd="0" x="959"/>
        <item sd="0" x="960"/>
        <item sd="0" x="961"/>
        <item sd="0" x="962"/>
        <item sd="0" x="963"/>
        <item sd="0" x="964"/>
        <item sd="0" x="965"/>
        <item sd="0" x="966"/>
        <item sd="0" x="967"/>
        <item sd="0" x="968"/>
        <item sd="0" x="969"/>
        <item sd="0" x="970"/>
        <item sd="0" x="971"/>
        <item sd="0" x="972"/>
        <item sd="0" x="973"/>
        <item sd="0" x="974"/>
        <item sd="0" x="975"/>
        <item sd="0" x="976"/>
        <item sd="0" x="977"/>
        <item sd="0" x="978"/>
        <item sd="0" x="979"/>
        <item sd="0" x="980"/>
        <item sd="0" x="981"/>
        <item sd="0" x="982"/>
        <item sd="0" x="983"/>
        <item sd="0" x="984"/>
        <item sd="0" x="985"/>
        <item sd="0" x="986"/>
        <item sd="0" x="987"/>
        <item sd="0" x="988"/>
        <item sd="0" x="989"/>
        <item sd="0" x="990"/>
        <item sd="0" x="991"/>
        <item sd="0" x="992"/>
        <item sd="0" x="993"/>
        <item sd="0" x="994"/>
        <item sd="0" x="995"/>
        <item sd="0" x="996"/>
        <item sd="0" x="997"/>
        <item sd="0" x="998"/>
        <item sd="0" x="999"/>
        <item sd="0" x="1000"/>
        <item sd="0" x="1001"/>
        <item sd="0" x="1002"/>
        <item sd="0" x="1003"/>
        <item sd="0" x="1004"/>
        <item sd="0" x="1005"/>
        <item sd="0" x="1006"/>
        <item sd="0" x="1007"/>
        <item sd="0" x="1008"/>
        <item sd="0" x="1009"/>
        <item sd="0" x="1010"/>
        <item sd="0" x="1011"/>
        <item sd="0" x="1012"/>
        <item sd="0" x="1013"/>
        <item sd="0" x="1014"/>
        <item sd="0" x="1015"/>
        <item sd="0" x="1016"/>
        <item sd="0" x="1017"/>
        <item sd="0" x="1018"/>
        <item sd="0" x="1019"/>
        <item sd="0" x="1020"/>
        <item sd="0" x="1021"/>
        <item sd="0" x="1022"/>
        <item sd="0" x="1023"/>
        <item sd="0" x="1024"/>
        <item sd="0" x="1025"/>
        <item sd="0" x="1026"/>
        <item sd="0" x="1027"/>
        <item sd="0" x="1028"/>
        <item sd="0" x="1029"/>
        <item sd="0" x="1030"/>
        <item sd="0" x="1031"/>
        <item sd="0" x="1032"/>
        <item sd="0" x="1033"/>
        <item sd="0" x="1034"/>
        <item sd="0" x="1035"/>
        <item sd="0" x="1036"/>
        <item sd="0" x="1037"/>
        <item sd="0" x="1038"/>
        <item sd="0" x="1039"/>
        <item sd="0" x="1040"/>
        <item sd="0" x="1041"/>
        <item sd="0" x="1042"/>
        <item sd="0" x="1043"/>
        <item sd="0" x="1044"/>
        <item sd="0" x="1045"/>
        <item sd="0" x="1046"/>
        <item sd="0" x="1047"/>
        <item sd="0" x="1048"/>
        <item sd="0" x="1049"/>
        <item sd="0" x="1050"/>
        <item sd="0" x="1051"/>
        <item sd="0" x="1052"/>
        <item sd="0" x="1053"/>
        <item sd="0" x="1054"/>
        <item sd="0" x="1055"/>
        <item sd="0" x="1056"/>
        <item sd="0" x="1057"/>
        <item sd="0" x="1058"/>
        <item sd="0" x="1059"/>
        <item sd="0" x="1060"/>
        <item sd="0" x="1061"/>
        <item sd="0" x="1062"/>
        <item sd="0" x="1063"/>
        <item sd="0" x="1064"/>
        <item sd="0" x="1065"/>
        <item sd="0" x="1066"/>
        <item sd="0" x="1067"/>
        <item sd="0" x="1068"/>
        <item sd="0" x="1069"/>
        <item sd="0" x="1070"/>
        <item sd="0" x="1071"/>
        <item sd="0" x="1072"/>
        <item sd="0" x="1073"/>
        <item sd="0" x="1074"/>
        <item sd="0" x="1075"/>
        <item sd="0" x="1076"/>
        <item sd="0" x="1077"/>
        <item sd="0" x="1078"/>
        <item sd="0" x="1079"/>
        <item sd="0" x="1080"/>
        <item sd="0" x="1081"/>
        <item sd="0" x="1082"/>
        <item sd="0" x="1083"/>
        <item sd="0" x="1084"/>
        <item sd="0" x="1085"/>
        <item sd="0" x="1086"/>
        <item sd="0" x="1087"/>
        <item sd="0" x="1088"/>
        <item sd="0" x="1089"/>
        <item sd="0" x="1090"/>
        <item sd="0" x="1091"/>
        <item sd="0" x="1092"/>
        <item sd="0" x="1093"/>
        <item sd="0" x="1094"/>
        <item sd="0" x="1095"/>
        <item sd="0" x="1096"/>
        <item sd="0" x="1097"/>
        <item sd="0" x="1098"/>
        <item sd="0" x="1099"/>
        <item sd="0" x="1100"/>
        <item sd="0" x="1101"/>
        <item sd="0" x="1102"/>
        <item sd="0" x="1103"/>
        <item sd="0" x="1104"/>
        <item sd="0" x="1105"/>
        <item sd="0" x="1106"/>
        <item sd="0" x="1107"/>
        <item sd="0" x="1108"/>
        <item sd="0" x="1109"/>
        <item sd="0" x="1110"/>
        <item sd="0" x="1111"/>
        <item sd="0" x="1112"/>
        <item sd="0" x="1113"/>
        <item sd="0" x="1114"/>
        <item sd="0" x="1115"/>
        <item sd="0" x="1116"/>
        <item sd="0" x="1117"/>
        <item sd="0" x="1118"/>
        <item sd="0" x="1119"/>
        <item sd="0" x="1120"/>
        <item sd="0" x="1121"/>
        <item sd="0" x="1122"/>
        <item sd="0" x="1123"/>
        <item sd="0" x="1124"/>
        <item sd="0" x="1125"/>
        <item sd="0" x="1126"/>
        <item sd="0" x="1127"/>
        <item sd="0" x="1128"/>
        <item sd="0" x="1129"/>
        <item sd="0" x="1130"/>
        <item sd="0" x="1131"/>
        <item sd="0" x="1132"/>
        <item sd="0" x="1133"/>
        <item sd="0" x="1134"/>
        <item sd="0" x="1135"/>
        <item sd="0" x="1136"/>
        <item sd="0" x="1137"/>
        <item sd="0" x="1138"/>
        <item sd="0" x="1139"/>
        <item sd="0" x="1140"/>
        <item sd="0" x="1141"/>
        <item sd="0" x="1142"/>
        <item sd="0" x="1143"/>
        <item sd="0" x="1144"/>
        <item sd="0" x="1145"/>
        <item sd="0" x="1146"/>
        <item sd="0" x="1147"/>
        <item sd="0" x="1148"/>
        <item sd="0" x="1149"/>
        <item sd="0" x="1150"/>
        <item sd="0" x="1151"/>
        <item sd="0" x="1152"/>
        <item sd="0" x="1153"/>
        <item sd="0" x="1154"/>
        <item sd="0" x="1155"/>
        <item sd="0" x="1156"/>
        <item sd="0" x="1157"/>
        <item sd="0" x="1158"/>
        <item sd="0" x="1159"/>
        <item sd="0" x="1160"/>
        <item sd="0" x="1161"/>
        <item sd="0" x="1162"/>
        <item sd="0" x="1163"/>
        <item sd="0" x="1164"/>
        <item sd="0" x="1165"/>
        <item sd="0" x="1166"/>
        <item sd="0" x="1167"/>
        <item sd="0" x="1168"/>
        <item sd="0" x="1169"/>
        <item sd="0" x="1170"/>
        <item sd="0" x="1171"/>
        <item sd="0" x="1172"/>
        <item sd="0" x="1173"/>
        <item sd="0" x="1174"/>
        <item sd="0" x="1175"/>
        <item sd="0" x="1176"/>
        <item sd="0" x="1177"/>
        <item sd="0" x="1178"/>
        <item sd="0" x="1179"/>
        <item sd="0" x="1180"/>
        <item sd="0" x="1181"/>
        <item sd="0" x="1182"/>
        <item sd="0" x="1183"/>
        <item sd="0" x="1184"/>
        <item sd="0" x="1185"/>
        <item sd="0" x="1186"/>
        <item sd="0" x="1187"/>
        <item sd="0" x="1188"/>
        <item sd="0" x="1189"/>
        <item sd="0" x="1190"/>
        <item sd="0" x="1191"/>
        <item sd="0" x="1192"/>
        <item sd="0" x="1193"/>
        <item sd="0" x="1194"/>
        <item sd="0" x="1195"/>
        <item sd="0" x="1196"/>
        <item sd="0" x="1197"/>
        <item sd="0" x="1198"/>
        <item sd="0" x="1199"/>
        <item sd="0" x="1200"/>
        <item sd="0" x="1201"/>
        <item sd="0" x="1202"/>
        <item sd="0" x="1203"/>
        <item sd="0" x="1204"/>
        <item sd="0" x="1205"/>
        <item sd="0" x="1206"/>
        <item sd="0" x="1207"/>
        <item sd="0" x="1208"/>
        <item sd="0" x="1209"/>
        <item sd="0" x="1210"/>
        <item sd="0" x="1211"/>
        <item sd="0" x="1212"/>
        <item sd="0" x="1213"/>
        <item sd="0" x="1214"/>
        <item sd="0" x="1215"/>
        <item sd="0" x="1216"/>
        <item sd="0" x="1217"/>
        <item sd="0" x="1218"/>
        <item sd="0" x="1219"/>
        <item sd="0" x="1220"/>
        <item sd="0" x="1221"/>
        <item sd="0" x="1222"/>
        <item sd="0" x="1223"/>
        <item sd="0" x="1224"/>
        <item sd="0" x="1225"/>
        <item sd="0" x="1226"/>
        <item sd="0" x="1227"/>
        <item sd="0" x="1228"/>
        <item sd="0" x="1229"/>
        <item sd="0" x="1230"/>
        <item sd="0" x="1231"/>
        <item sd="0" x="1232"/>
        <item sd="0" x="1233"/>
        <item sd="0" x="1234"/>
        <item sd="0" x="1235"/>
        <item sd="0" x="1236"/>
        <item sd="0" x="1237"/>
        <item sd="0" x="1238"/>
        <item sd="0" x="1239"/>
        <item sd="0" x="1240"/>
        <item sd="0" x="1241"/>
        <item sd="0" x="1242"/>
        <item sd="0" x="1243"/>
        <item sd="0" x="1244"/>
        <item sd="0" x="1245"/>
        <item sd="0" x="1246"/>
        <item sd="0" x="1247"/>
        <item sd="0" x="1248"/>
        <item sd="0" x="1249"/>
        <item sd="0" x="1250"/>
        <item sd="0" x="1251"/>
        <item sd="0" x="1252"/>
        <item sd="0" x="1253"/>
        <item sd="0" x="1254"/>
        <item sd="0" x="1255"/>
        <item sd="0" x="1256"/>
        <item sd="0" x="1257"/>
        <item sd="0" x="1258"/>
        <item sd="0" x="1259"/>
        <item sd="0" x="1260"/>
        <item sd="0" x="1261"/>
        <item sd="0" x="1262"/>
        <item sd="0" x="1263"/>
        <item sd="0" x="1264"/>
        <item sd="0" x="1265"/>
        <item sd="0" x="1266"/>
        <item sd="0" x="1267"/>
        <item sd="0" x="1268"/>
        <item sd="0" x="1269"/>
        <item sd="0" x="1270"/>
        <item sd="0" x="1271"/>
        <item sd="0" x="1272"/>
        <item sd="0" x="1273"/>
        <item sd="0" x="1274"/>
        <item sd="0" x="1275"/>
        <item sd="0" x="1276"/>
        <item sd="0" x="1277"/>
        <item sd="0" x="1278"/>
        <item sd="0" x="1279"/>
        <item sd="0" x="1280"/>
        <item sd="0" x="1281"/>
        <item sd="0" x="1282"/>
        <item sd="0" x="1283"/>
        <item sd="0" x="1284"/>
        <item sd="0" x="1285"/>
        <item sd="0" x="1286"/>
        <item sd="0" x="1287"/>
        <item sd="0" x="1288"/>
        <item sd="0" x="1289"/>
        <item sd="0" x="1290"/>
        <item sd="0" x="1291"/>
        <item sd="0" x="1292"/>
        <item sd="0" x="1293"/>
        <item sd="0" x="1294"/>
        <item sd="0" x="1295"/>
        <item sd="0" x="1296"/>
        <item sd="0" x="1297"/>
        <item sd="0" x="1298"/>
        <item sd="0" x="1299"/>
        <item sd="0" x="1300"/>
        <item sd="0" x="1301"/>
        <item sd="0" x="1302"/>
        <item sd="0" x="1303"/>
        <item sd="0" x="1304"/>
        <item sd="0" x="1305"/>
        <item sd="0" x="1306"/>
        <item sd="0" x="1307"/>
        <item sd="0" x="1308"/>
        <item sd="0" x="1309"/>
        <item sd="0" x="1310"/>
        <item sd="0" x="1311"/>
        <item sd="0" x="1312"/>
        <item sd="0" x="1313"/>
        <item sd="0" x="1314"/>
        <item sd="0" x="1315"/>
        <item sd="0" x="1316"/>
        <item sd="0" x="1317"/>
        <item sd="0" x="1318"/>
        <item sd="0" x="1319"/>
        <item sd="0" x="1320"/>
        <item sd="0" x="1321"/>
        <item sd="0" x="1322"/>
        <item sd="0" x="1323"/>
        <item sd="0" x="1324"/>
        <item sd="0" x="1325"/>
        <item sd="0" x="1326"/>
        <item sd="0" x="1327"/>
        <item sd="0" x="1328"/>
        <item sd="0" x="1329"/>
        <item sd="0" x="1330"/>
        <item sd="0" x="1331"/>
        <item sd="0" x="1332"/>
        <item sd="0" x="1333"/>
        <item sd="0" x="1334"/>
        <item sd="0" x="1335"/>
        <item sd="0" x="1336"/>
        <item sd="0" x="1337"/>
        <item sd="0" x="1338"/>
        <item sd="0" x="1339"/>
        <item sd="0" x="1340"/>
        <item sd="0" x="1341"/>
        <item sd="0" x="1342"/>
        <item sd="0" x="1343"/>
        <item sd="0" x="1344"/>
        <item sd="0" x="1345"/>
        <item sd="0" x="1346"/>
        <item sd="0" x="1347"/>
        <item sd="0" x="1348"/>
        <item sd="0" x="1349"/>
        <item sd="0" x="1350"/>
        <item sd="0" x="1351"/>
        <item sd="0" x="1352"/>
        <item sd="0" x="1353"/>
        <item sd="0" x="1354"/>
        <item sd="0" x="1355"/>
        <item sd="0" x="1356"/>
        <item sd="0" x="1357"/>
        <item sd="0" x="1358"/>
        <item sd="0" x="1359"/>
        <item sd="0" x="1360"/>
        <item sd="0" x="1361"/>
        <item sd="0" x="1362"/>
        <item sd="0" x="1363"/>
        <item sd="0" x="1364"/>
        <item sd="0" x="1365"/>
        <item sd="0" x="1366"/>
        <item sd="0" x="1367"/>
        <item sd="0" x="1368"/>
        <item sd="0" x="1369"/>
        <item sd="0" x="1370"/>
        <item sd="0" x="1371"/>
        <item sd="0" x="1372"/>
        <item sd="0" x="1373"/>
        <item sd="0" x="1374"/>
        <item sd="0" x="1375"/>
        <item sd="0" x="1376"/>
        <item sd="0" x="1377"/>
        <item sd="0" x="1378"/>
        <item sd="0" x="1379"/>
        <item sd="0" x="1380"/>
        <item sd="0" x="1381"/>
        <item sd="0" x="1382"/>
        <item sd="0" x="1383"/>
        <item sd="0" x="1384"/>
        <item sd="0" x="1385"/>
        <item sd="0" x="1386"/>
        <item sd="0" x="1387"/>
        <item sd="0" x="1388"/>
        <item sd="0" x="1389"/>
        <item sd="0" x="1390"/>
        <item sd="0" x="1391"/>
        <item sd="0" x="1392"/>
        <item sd="0" x="1393"/>
        <item sd="0" x="1394"/>
        <item sd="0" x="1395"/>
        <item sd="0" x="1396"/>
        <item sd="0" x="1397"/>
        <item sd="0" x="1398"/>
        <item sd="0" x="1399"/>
        <item sd="0" x="1400"/>
        <item sd="0" x="1401"/>
        <item sd="0" x="1402"/>
        <item sd="0" x="1403"/>
        <item sd="0" x="1404"/>
        <item sd="0" x="1405"/>
        <item sd="0" x="1406"/>
        <item sd="0" x="1407"/>
        <item sd="0" x="1408"/>
        <item sd="0" x="1409"/>
        <item sd="0" x="1410"/>
        <item sd="0" x="1411"/>
        <item sd="0" x="1412"/>
        <item sd="0" x="1413"/>
        <item sd="0" x="1414"/>
        <item sd="0" x="1415"/>
        <item sd="0" x="1416"/>
        <item sd="0" x="1417"/>
        <item sd="0" x="1418"/>
        <item sd="0" x="1419"/>
        <item sd="0" x="1420"/>
        <item sd="0" x="1421"/>
        <item sd="0" x="1422"/>
        <item sd="0" x="1423"/>
        <item sd="0" x="1424"/>
        <item sd="0" x="1425"/>
        <item sd="0" x="1426"/>
        <item sd="0" x="1427"/>
        <item sd="0" x="1428"/>
        <item sd="0" x="1429"/>
        <item sd="0" x="1430"/>
        <item sd="0" x="1431"/>
        <item sd="0" x="1432"/>
        <item sd="0" x="1433"/>
        <item sd="0" x="1434"/>
        <item sd="0" x="1435"/>
        <item sd="0" x="1436"/>
        <item sd="0" x="1437"/>
        <item sd="0" x="1438"/>
        <item sd="0" x="1439"/>
        <item sd="0" x="1440"/>
        <item sd="0" x="1441"/>
        <item sd="0" x="1442"/>
        <item sd="0" x="1443"/>
        <item sd="0" x="1444"/>
        <item sd="0" x="1445"/>
        <item sd="0" x="1446"/>
        <item sd="0" x="1447"/>
        <item sd="0" x="1448"/>
        <item sd="0" x="1449"/>
        <item sd="0" x="1450"/>
        <item sd="0" x="1451"/>
        <item sd="0" x="1452"/>
        <item sd="0" x="1453"/>
        <item sd="0" x="1454"/>
        <item sd="0" x="1455"/>
        <item sd="0" x="1456"/>
        <item sd="0" x="1457"/>
        <item sd="0" x="1458"/>
        <item sd="0" x="1459"/>
        <item sd="0" x="1460"/>
        <item sd="0" x="1461"/>
        <item sd="0" x="1462"/>
        <item sd="0" x="1463"/>
        <item sd="0" x="1464"/>
        <item sd="0" x="1465"/>
        <item sd="0" x="1466"/>
        <item sd="0" x="1467"/>
        <item sd="0" x="1468"/>
        <item sd="0" x="1469"/>
        <item sd="0" x="1470"/>
        <item sd="0" x="1471"/>
        <item sd="0" x="1472"/>
        <item sd="0" x="1473"/>
        <item sd="0" x="1474"/>
        <item sd="0" x="1475"/>
        <item sd="0" x="1476"/>
        <item sd="0" x="1477"/>
        <item sd="0" x="1478"/>
        <item sd="0" x="1479"/>
        <item sd="0" x="1480"/>
        <item sd="0" x="1481"/>
        <item sd="0" x="1482"/>
        <item sd="0" x="1483"/>
        <item sd="0" x="1484"/>
        <item sd="0" x="1485"/>
        <item sd="0" x="1486"/>
        <item sd="0" x="1487"/>
        <item sd="0" x="1488"/>
        <item sd="0" x="1489"/>
        <item sd="0" x="1490"/>
        <item sd="0" x="1491"/>
        <item sd="0" x="1492"/>
        <item sd="0" x="1493"/>
        <item sd="0" x="1494"/>
        <item sd="0" x="1495"/>
        <item sd="0" x="1496"/>
        <item sd="0" x="1497"/>
        <item sd="0" x="1498"/>
        <item sd="0" x="1499"/>
        <item sd="0" x="1500"/>
        <item sd="0" x="1501"/>
        <item sd="0" x="1502"/>
        <item sd="0" x="1503"/>
        <item sd="0" x="1504"/>
        <item sd="0" x="1505"/>
        <item sd="0" x="1506"/>
        <item sd="0" x="1507"/>
        <item sd="0" x="1508"/>
        <item sd="0" x="1509"/>
        <item sd="0" x="1510"/>
        <item sd="0" x="1511"/>
        <item sd="0" x="1512"/>
        <item sd="0" x="1513"/>
        <item sd="0" x="1514"/>
        <item sd="0" x="1515"/>
        <item sd="0" x="1516"/>
        <item sd="0" x="1517"/>
        <item sd="0" x="1518"/>
        <item sd="0" x="1519"/>
        <item sd="0" x="1520"/>
        <item sd="0" x="1521"/>
        <item sd="0" x="1522"/>
        <item sd="0" x="1523"/>
        <item sd="0" x="1524"/>
        <item sd="0" x="1525"/>
        <item sd="0" x="1526"/>
        <item sd="0" x="1527"/>
        <item sd="0" x="1528"/>
        <item sd="0" x="1529"/>
        <item sd="0" x="1530"/>
        <item sd="0" x="1531"/>
        <item sd="0" x="1532"/>
        <item sd="0" x="1533"/>
        <item sd="0" x="1534"/>
        <item sd="0" x="1535"/>
        <item sd="0" x="1536"/>
        <item sd="0" x="1537"/>
        <item sd="0" x="1538"/>
        <item sd="0" x="1539"/>
        <item sd="0" x="1540"/>
        <item sd="0" x="1541"/>
        <item sd="0" x="1542"/>
        <item sd="0" x="1543"/>
        <item sd="0" x="1544"/>
        <item sd="0" x="1545"/>
        <item sd="0" x="1546"/>
        <item sd="0" x="1547"/>
        <item sd="0" x="1548"/>
        <item sd="0" x="1549"/>
        <item sd="0" x="1550"/>
        <item sd="0" x="1551"/>
        <item sd="0" x="1552"/>
        <item sd="0" x="1553"/>
        <item sd="0" x="1554"/>
        <item sd="0" x="1555"/>
        <item sd="0" x="1556"/>
        <item sd="0" x="1557"/>
        <item sd="0" x="1558"/>
        <item sd="0" x="1559"/>
        <item sd="0" x="1560"/>
        <item sd="0" x="1561"/>
        <item sd="0" x="1562"/>
        <item sd="0" x="1563"/>
        <item sd="0" x="1564"/>
        <item sd="0" x="1565"/>
        <item sd="0" x="1566"/>
        <item sd="0" x="1567"/>
        <item sd="0" x="1568"/>
        <item sd="0" x="1569"/>
        <item sd="0" x="1570"/>
        <item sd="0" x="1571"/>
        <item sd="0" x="1572"/>
        <item sd="0" x="1573"/>
        <item sd="0" x="1574"/>
        <item sd="0" x="1575"/>
        <item sd="0" x="1576"/>
        <item sd="0" x="1577"/>
        <item sd="0" x="1578"/>
        <item sd="0" x="1579"/>
        <item sd="0" x="1580"/>
        <item sd="0" x="1581"/>
        <item sd="0" x="1582"/>
        <item sd="0" x="1583"/>
        <item sd="0" x="1584"/>
        <item sd="0" x="1585"/>
        <item sd="0" x="1586"/>
        <item sd="0" x="1587"/>
        <item sd="0" x="1588"/>
        <item sd="0" x="1589"/>
        <item sd="0" x="1590"/>
        <item sd="0" x="1591"/>
        <item sd="0" x="1592"/>
        <item sd="0" x="1593"/>
        <item sd="0" x="1594"/>
        <item sd="0" x="1595"/>
        <item sd="0" x="1596"/>
        <item sd="0" x="1597"/>
        <item sd="0" x="1598"/>
        <item sd="0" x="1599"/>
        <item sd="0" x="1600"/>
        <item sd="0" x="1601"/>
        <item sd="0" x="1602"/>
        <item sd="0" x="1603"/>
        <item sd="0" x="1604"/>
        <item sd="0" x="1605"/>
        <item sd="0" x="1606"/>
        <item sd="0" x="1607"/>
        <item sd="0" x="1608"/>
        <item sd="0" x="1609"/>
        <item sd="0" x="1610"/>
        <item sd="0" x="1611"/>
        <item sd="0" x="1612"/>
        <item sd="0" x="1613"/>
        <item sd="0" x="1614"/>
        <item sd="0" x="1615"/>
        <item sd="0" x="1616"/>
        <item sd="0" x="1617"/>
        <item sd="0" x="1618"/>
        <item sd="0" x="1619"/>
        <item sd="0" x="1620"/>
        <item sd="0" x="1621"/>
        <item sd="0" x="1622"/>
        <item sd="0" x="1623"/>
        <item sd="0" x="1624"/>
        <item sd="0" x="1625"/>
        <item sd="0" x="1626"/>
        <item sd="0" x="1627"/>
        <item sd="0" x="1628"/>
        <item sd="0" x="1629"/>
        <item sd="0" x="1630"/>
        <item sd="0" x="1631"/>
        <item sd="0" x="1632"/>
        <item sd="0" x="1633"/>
        <item sd="0" x="1634"/>
        <item sd="0" x="1635"/>
        <item sd="0" x="1636"/>
        <item sd="0" x="1637"/>
        <item sd="0" x="1638"/>
        <item sd="0" x="1639"/>
        <item sd="0" x="1640"/>
        <item sd="0" x="1641"/>
        <item sd="0" x="1642"/>
        <item sd="0" x="1643"/>
        <item sd="0" x="1644"/>
        <item sd="0" x="1645"/>
        <item sd="0" x="1646"/>
        <item sd="0" x="1647"/>
        <item sd="0" x="1648"/>
        <item sd="0" x="1649"/>
        <item sd="0" x="1650"/>
        <item sd="0" x="1651"/>
        <item sd="0" x="1652"/>
        <item sd="0" x="1653"/>
        <item sd="0" x="1654"/>
        <item sd="0" x="1655"/>
        <item sd="0" x="1656"/>
        <item sd="0" x="1657"/>
        <item sd="0" x="1658"/>
        <item sd="0" x="1659"/>
        <item sd="0" x="1660"/>
        <item sd="0" x="1661"/>
        <item sd="0" x="1662"/>
        <item sd="0" x="1663"/>
        <item sd="0" x="1664"/>
        <item sd="0" x="1665"/>
        <item sd="0" x="1666"/>
        <item sd="0" x="1667"/>
        <item sd="0" x="1668"/>
        <item sd="0" x="1669"/>
        <item sd="0" x="1670"/>
        <item sd="0" x="1671"/>
        <item sd="0" x="1672"/>
        <item sd="0" x="1673"/>
        <item sd="0" x="1674"/>
        <item sd="0" x="1675"/>
        <item sd="0" x="1676"/>
        <item sd="0" x="1677"/>
        <item sd="0" x="1678"/>
        <item sd="0" x="1679"/>
        <item sd="0" x="1680"/>
        <item sd="0" x="1681"/>
        <item sd="0" x="1682"/>
        <item sd="0" x="1683"/>
        <item sd="0" x="1684"/>
        <item sd="0" x="1685"/>
        <item sd="0" x="1686"/>
        <item sd="0" x="1687"/>
        <item sd="0" x="1688"/>
        <item sd="0" x="1689"/>
        <item sd="0" x="1690"/>
        <item sd="0" x="1691"/>
        <item sd="0" x="1692"/>
        <item sd="0" x="1693"/>
        <item sd="0" x="1694"/>
        <item sd="0" x="1695"/>
        <item sd="0" x="1696"/>
        <item sd="0" x="1697"/>
        <item sd="0" x="1698"/>
        <item sd="0" x="1699"/>
        <item sd="0" x="1700"/>
        <item sd="0" x="1701"/>
        <item sd="0" x="1702"/>
        <item sd="0" x="1703"/>
        <item sd="0" x="1704"/>
        <item sd="0" x="1705"/>
        <item sd="0" x="1706"/>
        <item sd="0" x="1707"/>
        <item sd="0" x="1708"/>
        <item sd="0" x="1709"/>
        <item sd="0" x="1710"/>
        <item sd="0" x="1711"/>
        <item sd="0" x="1712"/>
        <item sd="0" x="1713"/>
        <item sd="0" x="1714"/>
        <item sd="0" x="1715"/>
        <item sd="0" x="1716"/>
        <item sd="0" x="1717"/>
        <item sd="0" x="1718"/>
        <item sd="0" x="1719"/>
        <item sd="0" x="1720"/>
        <item sd="0" x="1721"/>
        <item sd="0" x="1722"/>
        <item sd="0" x="1723"/>
        <item sd="0" x="1724"/>
        <item sd="0" x="1725"/>
        <item sd="0" x="1726"/>
        <item sd="0" x="1727"/>
        <item sd="0" x="1728"/>
        <item sd="0" x="1729"/>
        <item sd="0" x="1730"/>
        <item sd="0" x="1731"/>
        <item sd="0" x="1732"/>
        <item sd="0" x="1733"/>
        <item sd="0" x="1734"/>
        <item sd="0" x="1735"/>
        <item sd="0" x="1736"/>
        <item sd="0" x="1737"/>
        <item sd="0" x="1738"/>
        <item sd="0" x="1739"/>
        <item sd="0" x="1740"/>
        <item sd="0" x="1741"/>
        <item sd="0" x="1742"/>
        <item sd="0" x="1743"/>
        <item sd="0" x="1744"/>
        <item sd="0" x="1745"/>
        <item sd="0" x="1746"/>
        <item sd="0" x="1747"/>
        <item sd="0" x="1748"/>
        <item sd="0" x="1749"/>
        <item sd="0" x="1750"/>
        <item sd="0" x="1751"/>
        <item sd="0" x="1752"/>
        <item sd="0" x="1753"/>
        <item sd="0" x="1754"/>
        <item sd="0" x="1755"/>
        <item sd="0" x="1756"/>
        <item sd="0" x="1757"/>
        <item sd="0" x="1758"/>
        <item sd="0" x="1759"/>
        <item sd="0" x="1760"/>
        <item sd="0" x="1761"/>
        <item sd="0" x="1762"/>
        <item sd="0" x="1763"/>
        <item sd="0" x="1764"/>
        <item sd="0" x="1765"/>
        <item sd="0" x="1766"/>
        <item sd="0" x="1767"/>
        <item sd="0" x="1768"/>
        <item sd="0" x="1769"/>
        <item sd="0" x="1770"/>
        <item sd="0" x="1771"/>
        <item sd="0" x="1772"/>
        <item sd="0" x="1773"/>
        <item sd="0" x="1774"/>
        <item sd="0" x="1775"/>
        <item sd="0" x="1776"/>
        <item sd="0" x="1777"/>
        <item sd="0" x="1778"/>
        <item sd="0" x="1779"/>
        <item sd="0" x="1780"/>
        <item sd="0" x="1781"/>
        <item sd="0" x="1782"/>
        <item sd="0" x="1783"/>
        <item sd="0" x="1784"/>
        <item sd="0" x="1785"/>
        <item sd="0" x="1786"/>
        <item sd="0" x="1787"/>
        <item sd="0" x="1788"/>
        <item sd="0" x="1789"/>
        <item sd="0" x="1790"/>
        <item sd="0" x="1791"/>
        <item sd="0" x="1792"/>
        <item sd="0" x="1793"/>
        <item sd="0" x="1794"/>
        <item sd="0" x="1795"/>
        <item sd="0" x="1796"/>
        <item sd="0" x="1797"/>
        <item sd="0" x="1798"/>
        <item sd="0" x="1799"/>
        <item sd="0" x="1800"/>
        <item sd="0" x="1801"/>
        <item sd="0" x="1802"/>
        <item sd="0" x="1803"/>
        <item sd="0" x="1804"/>
        <item sd="0" x="1805"/>
        <item sd="0" x="1806"/>
        <item sd="0" x="1807"/>
        <item sd="0" x="1808"/>
        <item sd="0" x="1809"/>
        <item sd="0" x="1810"/>
        <item sd="0" x="1811"/>
        <item sd="0" x="1812"/>
        <item sd="0" x="1813"/>
        <item sd="0" x="1814"/>
        <item sd="0" x="1815"/>
        <item sd="0" x="1816"/>
        <item sd="0" x="1817"/>
        <item sd="0" x="1818"/>
        <item sd="0" x="1819"/>
        <item sd="0" x="1820"/>
        <item sd="0" x="1821"/>
        <item sd="0" x="1822"/>
        <item sd="0" x="1823"/>
        <item sd="0" x="1824"/>
        <item sd="0" x="1825"/>
        <item sd="0" x="1826"/>
        <item sd="0" x="1827"/>
        <item sd="0" x="1828"/>
        <item sd="0" x="1829"/>
        <item sd="0" x="1830"/>
        <item sd="0" x="1831"/>
        <item sd="0" x="1832"/>
        <item sd="0" x="1833"/>
        <item sd="0" x="1834"/>
        <item sd="0" x="1835"/>
        <item sd="0" x="1836"/>
        <item sd="0" x="1837"/>
        <item sd="0" x="1838"/>
        <item sd="0" x="1839"/>
        <item sd="0" x="1840"/>
        <item sd="0" x="1841"/>
        <item sd="0" x="1842"/>
        <item sd="0" x="1843"/>
        <item sd="0" x="1844"/>
        <item sd="0" x="1845"/>
        <item sd="0" x="1846"/>
        <item sd="0" x="1847"/>
        <item sd="0" x="1848"/>
        <item sd="0" x="1849"/>
        <item sd="0" x="1850"/>
        <item sd="0" x="1851"/>
        <item sd="0" x="1852"/>
        <item sd="0" x="1853"/>
        <item sd="0" x="1854"/>
        <item sd="0" x="1855"/>
        <item sd="0" x="1856"/>
        <item sd="0" x="1857"/>
        <item sd="0" x="1858"/>
        <item sd="0" x="1859"/>
        <item sd="0" x="1860"/>
        <item sd="0" x="1861"/>
        <item sd="0" x="1862"/>
        <item sd="0" x="1863"/>
        <item sd="0" x="1864"/>
        <item sd="0" x="1865"/>
        <item sd="0" x="1866"/>
        <item sd="0" x="1867"/>
        <item sd="0" x="1868"/>
        <item sd="0" x="1869"/>
        <item sd="0" x="1870"/>
        <item sd="0" x="1871"/>
        <item sd="0" x="1872"/>
        <item sd="0" x="1873"/>
        <item sd="0" x="1874"/>
        <item sd="0" x="1875"/>
        <item sd="0" x="1876"/>
        <item sd="0" x="1877"/>
        <item sd="0" x="1878"/>
        <item sd="0" x="1879"/>
        <item sd="0" x="1880"/>
        <item sd="0" x="1881"/>
        <item sd="0" x="1882"/>
        <item sd="0" x="1883"/>
        <item sd="0" x="1884"/>
        <item sd="0" x="1885"/>
        <item sd="0" x="1886"/>
        <item sd="0" x="1887"/>
        <item sd="0" x="1888"/>
        <item sd="0" x="1889"/>
        <item sd="0" x="1890"/>
        <item sd="0" x="1891"/>
        <item sd="0" x="1892"/>
        <item sd="0" x="1893"/>
        <item sd="0" x="1894"/>
        <item sd="0" x="1895"/>
        <item sd="0" x="1896"/>
        <item sd="0" x="1897"/>
        <item sd="0" x="1898"/>
        <item sd="0" x="1899"/>
        <item sd="0" x="1900"/>
        <item sd="0" x="1901"/>
        <item sd="0" x="1902"/>
        <item sd="0" x="1903"/>
        <item sd="0" x="1904"/>
        <item sd="0" x="1905"/>
        <item sd="0" x="1906"/>
        <item sd="0" x="1907"/>
        <item sd="0" x="1908"/>
        <item sd="0" x="1909"/>
        <item sd="0" x="1910"/>
        <item sd="0" x="1911"/>
        <item sd="0" x="1912"/>
        <item sd="0" x="1913"/>
        <item sd="0" x="1914"/>
        <item sd="0" x="1915"/>
        <item sd="0" x="1916"/>
        <item sd="0" x="1917"/>
        <item sd="0" x="1918"/>
        <item sd="0" x="1919"/>
        <item sd="0" x="1920"/>
        <item sd="0" x="1921"/>
        <item sd="0" x="1922"/>
        <item sd="0" x="1923"/>
        <item sd="0" x="1924"/>
        <item sd="0" x="1925"/>
        <item sd="0" x="1926"/>
        <item sd="0" x="1927"/>
        <item sd="0" x="1928"/>
        <item sd="0" x="1929"/>
        <item sd="0" x="1930"/>
        <item sd="0" x="1931"/>
        <item sd="0" x="1932"/>
        <item sd="0" x="1933"/>
        <item sd="0" x="1934"/>
        <item sd="0" x="1935"/>
        <item sd="0" x="1936"/>
        <item sd="0" x="1937"/>
        <item sd="0" x="1938"/>
        <item sd="0" x="1939"/>
        <item sd="0" x="1940"/>
        <item sd="0" x="1941"/>
        <item sd="0" x="1942"/>
        <item sd="0" x="1943"/>
        <item sd="0" x="1944"/>
        <item sd="0" x="1945"/>
        <item sd="0" x="1946"/>
        <item sd="0" x="1947"/>
        <item sd="0" x="1948"/>
        <item sd="0" x="1949"/>
        <item sd="0" x="1950"/>
        <item sd="0" x="1951"/>
        <item sd="0" x="1952"/>
        <item sd="0" x="1953"/>
        <item sd="0" x="1954"/>
        <item sd="0" x="1955"/>
        <item sd="0" x="1956"/>
        <item sd="0" x="1957"/>
        <item sd="0" x="1958"/>
        <item sd="0" x="1959"/>
        <item sd="0" x="1960"/>
        <item sd="0" x="1961"/>
        <item sd="0" x="1962"/>
        <item sd="0" x="1963"/>
        <item sd="0" x="1964"/>
        <item sd="0" x="1965"/>
        <item sd="0" x="1966"/>
        <item sd="0" x="1967"/>
        <item sd="0" x="1968"/>
        <item sd="0" x="1969"/>
        <item sd="0" x="1970"/>
        <item sd="0" x="1971"/>
        <item sd="0" x="1972"/>
        <item sd="0" x="1973"/>
        <item sd="0" x="1974"/>
        <item sd="0" x="1975"/>
        <item sd="0" x="1976"/>
        <item sd="0" x="1977"/>
        <item sd="0" x="1978"/>
        <item sd="0" x="1979"/>
        <item sd="0" x="1980"/>
        <item sd="0" x="1981"/>
        <item sd="0" x="1982"/>
        <item sd="0" x="1983"/>
        <item sd="0" x="1984"/>
        <item sd="0" x="1985"/>
        <item sd="0" x="1986"/>
        <item sd="0" x="1987"/>
        <item sd="0" x="1988"/>
        <item sd="0" x="1989"/>
        <item sd="0" x="1990"/>
        <item sd="0" x="1991"/>
        <item sd="0" x="1992"/>
        <item sd="0" x="1993"/>
        <item sd="0" x="1994"/>
        <item sd="0" x="1995"/>
        <item sd="0" x="1996"/>
        <item sd="0" x="1997"/>
        <item sd="0" x="1998"/>
        <item sd="0" x="1999"/>
        <item sd="0" x="2000"/>
        <item sd="0" x="2001"/>
        <item sd="0" x="2002"/>
        <item sd="0" x="2003"/>
        <item sd="0" x="2004"/>
        <item sd="0" x="2005"/>
        <item sd="0" x="2006"/>
        <item sd="0" x="2007"/>
        <item sd="0" x="2008"/>
        <item sd="0" x="2009"/>
        <item sd="0" x="2010"/>
        <item sd="0" x="2011"/>
        <item sd="0" x="2012"/>
        <item sd="0" x="2013"/>
        <item sd="0" x="2014"/>
        <item sd="0" x="2015"/>
        <item sd="0" x="2016"/>
        <item sd="0" x="2017"/>
        <item sd="0" x="2018"/>
        <item sd="0" x="2019"/>
        <item sd="0" x="2020"/>
        <item sd="0" x="2021"/>
        <item sd="0" x="2022"/>
        <item sd="0" x="2023"/>
        <item sd="0" x="2024"/>
        <item sd="0" x="2025"/>
        <item sd="0" x="2026"/>
        <item sd="0" x="2027"/>
        <item sd="0" x="2028"/>
        <item sd="0" x="2029"/>
        <item sd="0" x="2030"/>
        <item sd="0" x="2031"/>
        <item sd="0" x="2032"/>
        <item sd="0" x="2033"/>
        <item sd="0" x="2034"/>
        <item sd="0" x="2035"/>
        <item sd="0" x="2036"/>
        <item sd="0" x="2037"/>
        <item sd="0" x="2038"/>
        <item sd="0" x="2039"/>
        <item sd="0" x="2040"/>
        <item sd="0" x="2041"/>
        <item sd="0" x="2042"/>
        <item sd="0" x="2043"/>
        <item sd="0" x="2044"/>
        <item sd="0" x="2045"/>
        <item sd="0" x="2046"/>
        <item sd="0" x="2047"/>
        <item sd="0" x="2048"/>
        <item sd="0" x="2049"/>
        <item sd="0" x="2050"/>
        <item sd="0" x="2051"/>
        <item sd="0" x="2052"/>
        <item sd="0" x="2053"/>
        <item sd="0" x="2054"/>
        <item sd="0" x="2055"/>
        <item sd="0" x="2056"/>
        <item sd="0" x="2057"/>
        <item sd="0" x="2058"/>
        <item sd="0" x="2059"/>
        <item sd="0" x="2060"/>
        <item sd="0" x="2061"/>
        <item sd="0" x="2062"/>
        <item sd="0" x="2063"/>
        <item sd="0" x="2064"/>
        <item sd="0" x="2065"/>
        <item sd="0" x="2066"/>
        <item sd="0" x="2067"/>
        <item sd="0" x="2068"/>
        <item sd="0" x="2069"/>
        <item sd="0" x="2070"/>
        <item sd="0" x="2071"/>
        <item sd="0" x="2072"/>
        <item sd="0" x="2073"/>
        <item sd="0" x="2074"/>
        <item sd="0" x="2075"/>
        <item sd="0" x="2076"/>
        <item sd="0" x="2077"/>
        <item sd="0" x="2078"/>
        <item sd="0" x="2079"/>
        <item sd="0" x="2080"/>
        <item sd="0" x="2081"/>
        <item sd="0" x="2082"/>
        <item sd="0" x="2083"/>
        <item sd="0" x="2084"/>
        <item sd="0" x="2085"/>
        <item sd="0" x="2086"/>
        <item sd="0" x="2087"/>
        <item sd="0" x="2088"/>
        <item sd="0" x="2089"/>
        <item sd="0" x="2090"/>
        <item sd="0" x="2091"/>
        <item sd="0" x="2092"/>
        <item sd="0" x="2093"/>
        <item sd="0" x="2094"/>
        <item sd="0" x="2095"/>
        <item sd="0" x="2096"/>
        <item sd="0" x="2097"/>
        <item sd="0" x="2098"/>
        <item sd="0" x="2099"/>
        <item sd="0" x="2100"/>
        <item sd="0" x="2101"/>
        <item sd="0" x="2102"/>
        <item sd="0" x="2103"/>
        <item sd="0" x="2104"/>
        <item sd="0" x="2105"/>
        <item sd="0" x="2106"/>
        <item sd="0" x="2107"/>
        <item sd="0" x="2108"/>
        <item sd="0" x="2109"/>
        <item sd="0" x="2110"/>
        <item sd="0" x="2111"/>
        <item sd="0" x="2112"/>
        <item sd="0" x="2113"/>
        <item sd="0" x="2114"/>
        <item sd="0" x="2115"/>
        <item sd="0" x="2116"/>
        <item sd="0" x="2117"/>
        <item sd="0" x="2118"/>
        <item sd="0" x="2119"/>
        <item sd="0" x="2120"/>
        <item sd="0" x="2121"/>
        <item sd="0" x="2122"/>
        <item sd="0" x="2123"/>
        <item sd="0" x="2124"/>
        <item sd="0" x="2125"/>
        <item sd="0" x="2126"/>
        <item sd="0" x="2127"/>
        <item sd="0" x="2128"/>
        <item sd="0" x="2129"/>
        <item sd="0" x="2130"/>
        <item sd="0" x="2131"/>
        <item sd="0" x="2132"/>
        <item sd="0" x="2133"/>
        <item sd="0" x="2134"/>
        <item sd="0" x="2135"/>
        <item sd="0" x="2136"/>
        <item sd="0" x="2137"/>
        <item sd="0" x="2138"/>
        <item sd="0" x="2139"/>
        <item sd="0" x="2140"/>
        <item sd="0" x="2141"/>
        <item sd="0" x="2142"/>
        <item sd="0" x="2143"/>
        <item sd="0" x="2144"/>
        <item sd="0" x="2145"/>
        <item sd="0" x="2146"/>
        <item sd="0" x="2147"/>
        <item sd="0" x="2148"/>
        <item sd="0" x="2149"/>
        <item sd="0" x="2150"/>
        <item sd="0" x="2151"/>
        <item sd="0" x="2152"/>
        <item sd="0" x="2153"/>
        <item sd="0" x="2154"/>
        <item sd="0" x="2155"/>
        <item sd="0" x="2156"/>
        <item sd="0" x="2157"/>
        <item sd="0" x="2158"/>
        <item sd="0" x="2159"/>
        <item sd="0" x="2160"/>
        <item sd="0" x="2161"/>
        <item sd="0" x="2162"/>
        <item sd="0" x="2163"/>
        <item sd="0" x="2164"/>
        <item sd="0" x="2165"/>
        <item sd="0" x="2166"/>
        <item sd="0" x="2167"/>
        <item sd="0" x="2168"/>
        <item sd="0" x="2169"/>
        <item sd="0" x="2170"/>
        <item sd="0" x="2171"/>
        <item sd="0" x="2172"/>
        <item sd="0" x="2173"/>
        <item sd="0" x="2174"/>
        <item sd="0" x="2175"/>
        <item sd="0" x="2176"/>
        <item sd="0" x="2177"/>
        <item sd="0" x="2178"/>
        <item sd="0" x="2179"/>
        <item sd="0" x="2180"/>
        <item sd="0" x="2181"/>
        <item sd="0" x="2182"/>
        <item sd="0" x="2183"/>
        <item sd="0" x="2184"/>
        <item sd="0" x="2185"/>
        <item sd="0" x="2186"/>
        <item sd="0" x="2187"/>
        <item sd="0" x="2188"/>
        <item sd="0" x="2189"/>
        <item sd="0" x="2190"/>
        <item sd="0" x="2191"/>
        <item sd="0" x="2192"/>
        <item sd="0" x="2193"/>
        <item sd="0" x="2194"/>
        <item sd="0" x="2195"/>
        <item sd="0" x="2196"/>
        <item sd="0" x="2197"/>
        <item sd="0" x="2198"/>
        <item sd="0" x="2199"/>
        <item sd="0" x="2200"/>
        <item sd="0" x="2201"/>
        <item sd="0" x="2202"/>
        <item sd="0" x="2203"/>
        <item sd="0" x="2204"/>
        <item sd="0" x="2205"/>
        <item sd="0" x="2206"/>
        <item sd="0" x="2207"/>
        <item sd="0" x="2208"/>
        <item sd="0" x="2209"/>
        <item sd="0" x="2210"/>
        <item sd="0" x="2211"/>
        <item sd="0" x="2212"/>
        <item sd="0" x="2213"/>
        <item sd="0" x="2214"/>
        <item sd="0" x="2215"/>
        <item sd="0" x="2216"/>
        <item sd="0" x="2217"/>
        <item sd="0" x="2218"/>
        <item sd="0" x="2219"/>
        <item sd="0" x="2220"/>
        <item sd="0" x="2221"/>
        <item sd="0" x="2222"/>
        <item sd="0" x="2223"/>
        <item sd="0" x="2224"/>
        <item sd="0" x="2225"/>
        <item sd="0" x="2226"/>
        <item sd="0" x="2227"/>
        <item sd="0" x="2228"/>
        <item sd="0" x="2229"/>
        <item sd="0" x="2230"/>
        <item sd="0" x="2231"/>
        <item sd="0" x="2232"/>
        <item sd="0" x="2233"/>
        <item sd="0" x="2234"/>
        <item sd="0" x="2235"/>
        <item sd="0" x="2236"/>
        <item sd="0" x="2237"/>
        <item sd="0" x="2238"/>
        <item sd="0" x="2239"/>
        <item sd="0" x="2240"/>
        <item sd="0" x="2241"/>
        <item sd="0" x="2242"/>
        <item sd="0" x="2243"/>
        <item sd="0" x="2244"/>
        <item sd="0" x="2245"/>
        <item sd="0" x="2246"/>
        <item sd="0" x="2247"/>
        <item sd="0" x="2248"/>
        <item sd="0" x="2249"/>
        <item sd="0" x="2250"/>
        <item sd="0" x="2251"/>
        <item sd="0" x="2252"/>
        <item sd="0" x="2253"/>
        <item sd="0" x="2254"/>
        <item sd="0" x="2255"/>
        <item sd="0" x="2256"/>
        <item sd="0" x="2257"/>
        <item sd="0" x="2258"/>
        <item sd="0" x="2259"/>
        <item sd="0" x="2260"/>
        <item sd="0" x="2261"/>
        <item sd="0" x="2262"/>
        <item sd="0" x="2263"/>
        <item sd="0" x="2264"/>
        <item sd="0" x="2265"/>
        <item sd="0" x="2266"/>
        <item sd="0" x="2267"/>
        <item sd="0" x="2268"/>
        <item sd="0" x="2269"/>
        <item sd="0" x="2270"/>
        <item sd="0" x="2271"/>
        <item sd="0" x="2272"/>
        <item sd="0" x="2273"/>
        <item sd="0" x="2274"/>
        <item sd="0" x="2275"/>
        <item sd="0" x="2276"/>
        <item sd="0" x="2277"/>
        <item sd="0" x="2278"/>
        <item sd="0" x="2279"/>
        <item sd="0" x="2280"/>
        <item sd="0" x="2281"/>
        <item sd="0" x="2282"/>
        <item sd="0" x="2283"/>
        <item sd="0" x="2284"/>
        <item sd="0" x="2285"/>
        <item sd="0" x="2286"/>
        <item sd="0" x="2287"/>
        <item sd="0" x="2288"/>
        <item sd="0" x="2289"/>
        <item sd="0" x="2290"/>
        <item sd="0" x="2291"/>
        <item sd="0" x="2292"/>
        <item sd="0" x="2293"/>
        <item sd="0" x="2294"/>
        <item sd="0" x="2295"/>
        <item sd="0" x="2296"/>
        <item sd="0" x="2297"/>
        <item sd="0" x="2298"/>
        <item sd="0" x="2299"/>
        <item sd="0" x="2300"/>
        <item sd="0" x="2301"/>
        <item sd="0" x="2302"/>
        <item sd="0" x="2303"/>
        <item sd="0" x="2304"/>
        <item sd="0" x="2305"/>
        <item sd="0" x="2306"/>
        <item sd="0" x="2307"/>
        <item sd="0" x="2308"/>
        <item sd="0" x="2309"/>
        <item sd="0" x="2310"/>
        <item sd="0" x="2311"/>
        <item sd="0" x="2312"/>
        <item sd="0" x="2313"/>
        <item sd="0" x="2314"/>
        <item sd="0" x="2315"/>
        <item sd="0" x="2316"/>
        <item sd="0" x="2317"/>
        <item sd="0" x="2318"/>
        <item sd="0" x="2319"/>
        <item sd="0" x="2320"/>
        <item sd="0" x="2321"/>
        <item sd="0" x="2322"/>
        <item sd="0" x="2323"/>
        <item sd="0" x="2324"/>
        <item sd="0" x="2325"/>
        <item sd="0" x="2326"/>
        <item sd="0" x="2327"/>
        <item sd="0" x="2328"/>
        <item sd="0" x="2329"/>
        <item sd="0" x="2330"/>
        <item sd="0" x="2331"/>
        <item sd="0" x="2332"/>
        <item sd="0" x="2333"/>
        <item sd="0" x="2334"/>
        <item sd="0" x="2335"/>
        <item sd="0" x="2336"/>
        <item sd="0" x="2337"/>
        <item sd="0" x="2338"/>
        <item sd="0" x="2339"/>
        <item sd="0" x="2340"/>
        <item sd="0" x="2341"/>
        <item sd="0" x="2342"/>
        <item sd="0" x="2343"/>
        <item sd="0" x="2344"/>
        <item sd="0" x="2345"/>
        <item sd="0" x="2346"/>
        <item sd="0" x="2347"/>
        <item sd="0" x="2348"/>
        <item sd="0" x="2349"/>
        <item sd="0" x="2350"/>
        <item sd="0" x="2351"/>
        <item sd="0" x="2352"/>
        <item sd="0" x="2353"/>
        <item sd="0" x="2354"/>
        <item sd="0" x="2355"/>
        <item sd="0" x="2356"/>
        <item sd="0" x="2357"/>
        <item sd="0" x="2358"/>
        <item sd="0" x="2359"/>
        <item sd="0" x="2360"/>
        <item sd="0" x="2361"/>
        <item sd="0" x="2362"/>
        <item sd="0" x="2363"/>
        <item sd="0" x="2364"/>
        <item sd="0" x="2365"/>
        <item sd="0" x="2366"/>
        <item sd="0" x="2367"/>
        <item sd="0" x="2368"/>
        <item sd="0" x="2369"/>
        <item sd="0" x="2370"/>
        <item sd="0" x="2371"/>
        <item sd="0" x="2372"/>
        <item sd="0" x="2373"/>
        <item sd="0" x="2374"/>
        <item sd="0" x="2375"/>
        <item sd="0" x="2376"/>
        <item sd="0" x="2377"/>
        <item sd="0" x="2378"/>
        <item sd="0" x="2379"/>
        <item sd="0" x="2380"/>
        <item sd="0" x="2381"/>
        <item sd="0" x="2382"/>
        <item sd="0" x="2383"/>
        <item sd="0" x="2384"/>
        <item sd="0" x="2385"/>
        <item sd="0" x="2386"/>
        <item sd="0" x="2387"/>
        <item sd="0" x="2388"/>
        <item sd="0" x="2389"/>
        <item sd="0" x="2390"/>
        <item sd="0" x="2391"/>
        <item sd="0" x="2392"/>
        <item sd="0" x="2393"/>
        <item sd="0" x="2394"/>
        <item sd="0" x="2395"/>
        <item sd="0" x="2396"/>
        <item sd="0" x="2397"/>
        <item sd="0" x="2398"/>
        <item sd="0" x="2399"/>
        <item sd="0" x="2400"/>
        <item sd="0" x="2401"/>
        <item sd="0" x="2402"/>
        <item sd="0" x="2403"/>
        <item sd="0" x="2404"/>
        <item sd="0" x="2405"/>
        <item sd="0" x="2406"/>
        <item sd="0" x="2407"/>
        <item sd="0" x="2408"/>
        <item sd="0" x="2409"/>
        <item sd="0" x="2410"/>
        <item sd="0" x="2411"/>
        <item sd="0" x="2412"/>
        <item sd="0" x="2413"/>
        <item sd="0" x="2414"/>
        <item sd="0" x="2415"/>
        <item sd="0" x="2416"/>
        <item sd="0" x="2417"/>
        <item sd="0" x="2418"/>
        <item sd="0" x="2419"/>
        <item sd="0" x="2420"/>
        <item sd="0" x="2421"/>
        <item sd="0" x="2422"/>
        <item sd="0" x="2423"/>
        <item sd="0" x="2424"/>
        <item sd="0" x="2425"/>
        <item sd="0" x="2426"/>
        <item sd="0" x="2427"/>
        <item sd="0" x="2428"/>
        <item sd="0" x="2429"/>
        <item sd="0" x="2430"/>
        <item sd="0" x="2431"/>
        <item sd="0" x="2432"/>
        <item sd="0" x="2433"/>
        <item sd="0" x="2434"/>
        <item sd="0" x="2435"/>
        <item sd="0" x="2436"/>
        <item sd="0" x="2437"/>
        <item sd="0" x="2438"/>
        <item sd="0" x="2439"/>
        <item sd="0" x="2440"/>
        <item sd="0" x="2441"/>
        <item sd="0" x="2442"/>
        <item sd="0" x="2443"/>
        <item sd="0" x="2444"/>
        <item sd="0" x="2445"/>
        <item sd="0" x="2446"/>
        <item sd="0" x="2447"/>
        <item sd="0" x="2448"/>
        <item sd="0" x="2449"/>
        <item sd="0" x="2450"/>
        <item sd="0" x="2451"/>
        <item sd="0" x="2452"/>
        <item sd="0" x="2453"/>
        <item sd="0" x="2454"/>
        <item sd="0" x="2455"/>
        <item sd="0" x="2456"/>
        <item sd="0" x="2457"/>
        <item sd="0" x="2458"/>
        <item sd="0" x="2459"/>
        <item sd="0" x="2460"/>
        <item sd="0" x="2461"/>
        <item sd="0" x="2462"/>
        <item sd="0" x="2463"/>
        <item sd="0" x="2464"/>
        <item sd="0" x="2465"/>
        <item sd="0" x="2466"/>
        <item sd="0" x="2467"/>
        <item sd="0" x="2468"/>
        <item sd="0" x="2469"/>
        <item sd="0" x="2470"/>
        <item sd="0" x="2471"/>
        <item sd="0" x="2472"/>
        <item sd="0" x="2473"/>
        <item sd="0" x="2474"/>
        <item sd="0" x="2475"/>
        <item sd="0" x="2476"/>
        <item sd="0" x="2477"/>
        <item sd="0" x="2478"/>
        <item sd="0" x="2479"/>
        <item sd="0" x="2480"/>
        <item sd="0" x="2481"/>
        <item sd="0" x="2482"/>
        <item sd="0" x="2483"/>
        <item sd="0" x="2484"/>
        <item sd="0" x="2485"/>
        <item sd="0" x="2486"/>
        <item sd="0" x="2487"/>
        <item sd="0" x="2488"/>
        <item sd="0" x="2489"/>
        <item sd="0" x="2490"/>
        <item sd="0" x="2491"/>
        <item sd="0" x="2492"/>
        <item sd="0" x="2493"/>
        <item sd="0" x="2494"/>
        <item sd="0" x="2495"/>
        <item sd="0" x="2496"/>
        <item sd="0" x="2497"/>
        <item sd="0" x="2498"/>
        <item sd="0" x="2499"/>
        <item sd="0" x="2500"/>
        <item sd="0" x="2501"/>
        <item sd="0" x="2502"/>
        <item sd="0" x="2503"/>
        <item sd="0" x="2504"/>
        <item sd="0" x="2505"/>
        <item sd="0" x="2506"/>
        <item sd="0" x="2507"/>
        <item sd="0" x="2508"/>
        <item sd="0" x="2509"/>
        <item sd="0" x="2510"/>
        <item sd="0" x="2511"/>
        <item sd="0" x="2512"/>
        <item sd="0" x="2513"/>
        <item sd="0" x="2514"/>
        <item sd="0" x="2515"/>
        <item sd="0" x="2516"/>
        <item sd="0" x="2517"/>
        <item sd="0" x="2518"/>
        <item sd="0" x="2519"/>
        <item sd="0" x="2520"/>
        <item sd="0" x="2521"/>
        <item sd="0" x="2522"/>
        <item sd="0" x="2523"/>
        <item sd="0" x="2524"/>
        <item sd="0" x="2525"/>
        <item sd="0" x="2526"/>
        <item sd="0" x="2527"/>
        <item sd="0" x="2528"/>
        <item sd="0" x="2529"/>
        <item sd="0" x="2530"/>
        <item sd="0" x="2531"/>
        <item sd="0" x="2532"/>
        <item sd="0" x="2533"/>
        <item sd="0" x="2534"/>
        <item sd="0" x="2535"/>
        <item sd="0" x="2536"/>
        <item sd="0" x="2537"/>
        <item sd="0" x="2538"/>
        <item sd="0" x="2539"/>
        <item sd="0" x="2540"/>
        <item sd="0" x="2541"/>
        <item sd="0" x="2542"/>
        <item sd="0" x="2543"/>
        <item sd="0" x="2544"/>
        <item sd="0" x="2545"/>
        <item sd="0" x="2546"/>
        <item sd="0" x="2547"/>
        <item sd="0" x="2548"/>
        <item sd="0" x="2549"/>
        <item sd="0" x="2550"/>
        <item sd="0" x="2551"/>
        <item sd="0" x="2552"/>
        <item sd="0" x="2553"/>
        <item sd="0" x="2554"/>
        <item sd="0" x="2555"/>
        <item sd="0" x="2556"/>
        <item sd="0" x="2557"/>
        <item sd="0" x="2558"/>
        <item sd="0" x="2559"/>
        <item sd="0" x="2560"/>
        <item sd="0" x="2561"/>
        <item sd="0" x="2562"/>
        <item sd="0" x="2563"/>
        <item sd="0" x="2564"/>
        <item sd="0" x="2565"/>
        <item sd="0" x="2566"/>
        <item sd="0" x="2567"/>
        <item sd="0" x="2568"/>
        <item sd="0" x="2569"/>
        <item sd="0" x="2570"/>
        <item sd="0" x="2571"/>
        <item sd="0" x="2572"/>
        <item sd="0" x="2573"/>
        <item sd="0" x="2574"/>
        <item sd="0" x="2575"/>
        <item sd="0" x="2576"/>
        <item sd="0" x="2577"/>
        <item sd="0" x="2578"/>
        <item sd="0" x="2579"/>
        <item sd="0" x="2580"/>
        <item sd="0" x="2581"/>
        <item sd="0" x="2582"/>
        <item sd="0" x="2583"/>
        <item sd="0" x="2584"/>
        <item sd="0" x="2585"/>
        <item sd="0" x="2586"/>
        <item sd="0" x="2587"/>
        <item sd="0" x="2588"/>
        <item sd="0" x="2589"/>
        <item sd="0" x="2590"/>
        <item sd="0" x="2591"/>
        <item sd="0" x="2592"/>
        <item sd="0" x="2593"/>
        <item sd="0" x="2594"/>
        <item sd="0" x="2595"/>
        <item sd="0" x="2596"/>
        <item sd="0" x="2597"/>
        <item sd="0" x="2598"/>
        <item sd="0" x="2599"/>
        <item sd="0" x="2600"/>
        <item sd="0" x="2601"/>
        <item sd="0" x="2602"/>
        <item sd="0" x="2603"/>
        <item sd="0" x="2604"/>
        <item sd="0" x="2605"/>
        <item sd="0" x="2606"/>
        <item sd="0" x="2607"/>
        <item sd="0" x="2608"/>
        <item sd="0" x="2609"/>
        <item sd="0" x="2610"/>
        <item sd="0" x="2611"/>
        <item sd="0" x="2612"/>
        <item sd="0" x="2613"/>
        <item sd="0" x="2614"/>
        <item sd="0" x="2615"/>
        <item sd="0" x="2616"/>
        <item sd="0" x="2617"/>
        <item sd="0" x="2618"/>
        <item sd="0" x="2619"/>
        <item sd="0" x="2620"/>
        <item sd="0" x="2621"/>
        <item sd="0" x="2622"/>
        <item sd="0" x="2623"/>
        <item sd="0" x="2624"/>
        <item sd="0" x="2625"/>
        <item sd="0" x="2626"/>
        <item sd="0" x="2627"/>
        <item sd="0" x="2628"/>
        <item sd="0" x="2629"/>
        <item sd="0" x="2630"/>
        <item sd="0" x="2631"/>
        <item sd="0" x="2632"/>
        <item sd="0" x="2633"/>
        <item sd="0" x="2634"/>
        <item sd="0" x="2635"/>
        <item sd="0" x="2636"/>
        <item sd="0" x="2637"/>
        <item sd="0" x="2638"/>
        <item sd="0" x="2639"/>
        <item sd="0" x="2640"/>
        <item sd="0" x="2641"/>
        <item sd="0" x="2642"/>
        <item sd="0" x="2643"/>
        <item sd="0" x="2644"/>
        <item sd="0" x="2645"/>
        <item sd="0" x="2646"/>
        <item sd="0" x="2647"/>
        <item sd="0" x="2648"/>
        <item sd="0" x="2649"/>
        <item sd="0" x="2650"/>
        <item sd="0" x="2651"/>
        <item sd="0" x="2652"/>
        <item sd="0" x="2653"/>
        <item sd="0" x="2654"/>
        <item sd="0" x="2655"/>
        <item sd="0" x="2656"/>
        <item sd="0" x="2657"/>
        <item sd="0" x="2658"/>
        <item sd="0" x="2659"/>
        <item sd="0" x="2660"/>
        <item sd="0" x="2661"/>
        <item sd="0" x="2662"/>
        <item sd="0" x="2663"/>
        <item sd="0" x="2664"/>
        <item sd="0" x="2665"/>
        <item sd="0" x="2666"/>
        <item sd="0" x="2667"/>
        <item sd="0" x="2668"/>
        <item sd="0" x="2669"/>
        <item sd="0" x="2670"/>
        <item sd="0" x="2671"/>
        <item sd="0" x="2672"/>
        <item sd="0" x="2673"/>
        <item sd="0" x="2674"/>
        <item sd="0" x="2675"/>
        <item sd="0" x="2676"/>
        <item sd="0" x="2677"/>
        <item sd="0" x="2678"/>
        <item sd="0" x="2679"/>
        <item sd="0" x="2680"/>
        <item sd="0" x="2681"/>
        <item sd="0" x="2682"/>
        <item sd="0" x="2683"/>
        <item sd="0" x="2684"/>
        <item sd="0" x="2685"/>
        <item sd="0" x="2686"/>
        <item sd="0" x="2687"/>
        <item sd="0" x="2688"/>
        <item sd="0" x="2689"/>
        <item sd="0" x="2690"/>
        <item sd="0" x="2691"/>
        <item sd="0" x="2692"/>
        <item sd="0" x="2693"/>
        <item sd="0" x="2694"/>
        <item sd="0" x="2695"/>
        <item sd="0" x="2696"/>
        <item sd="0" x="2697"/>
        <item sd="0" x="2698"/>
        <item sd="0" x="2699"/>
        <item sd="0" x="2700"/>
        <item sd="0" x="2701"/>
        <item sd="0" x="2702"/>
        <item sd="0" x="2703"/>
        <item sd="0" x="2704"/>
        <item sd="0" x="2705"/>
        <item sd="0" x="2706"/>
        <item sd="0" x="2707"/>
        <item sd="0" x="2708"/>
        <item sd="0" x="2709"/>
        <item sd="0" x="2710"/>
        <item sd="0" x="2711"/>
        <item sd="0" x="2712"/>
        <item sd="0" x="2713"/>
        <item sd="0" x="2714"/>
        <item sd="0" x="2715"/>
        <item sd="0" x="2716"/>
        <item sd="0" x="2717"/>
        <item sd="0" x="2718"/>
        <item sd="0" x="2719"/>
        <item sd="0" x="2720"/>
        <item sd="0" x="2721"/>
        <item sd="0" x="2722"/>
        <item sd="0" x="2723"/>
        <item sd="0" x="2724"/>
        <item sd="0" x="2725"/>
        <item sd="0" x="2726"/>
        <item sd="0" x="2727"/>
        <item sd="0" x="2728"/>
        <item sd="0" x="2729"/>
        <item sd="0" x="2730"/>
        <item sd="0" x="2731"/>
        <item sd="0" x="2732"/>
        <item sd="0" x="2733"/>
        <item sd="0" x="2734"/>
        <item sd="0" x="2735"/>
        <item sd="0" x="2736"/>
        <item sd="0" x="2737"/>
        <item sd="0" x="2738"/>
        <item sd="0" x="2739"/>
        <item sd="0" x="2740"/>
        <item sd="0" x="2741"/>
        <item sd="0" x="2742"/>
        <item sd="0" x="2743"/>
        <item sd="0" x="2744"/>
        <item sd="0" x="2745"/>
        <item sd="0" x="2746"/>
        <item sd="0" x="2747"/>
        <item sd="0" x="2748"/>
        <item sd="0" x="2749"/>
        <item sd="0" x="2750"/>
        <item sd="0" x="2751"/>
        <item sd="0" x="2752"/>
        <item sd="0" x="2753"/>
        <item sd="0" x="2754"/>
        <item sd="0" x="2755"/>
        <item sd="0" x="2756"/>
        <item sd="0" x="2757"/>
        <item sd="0" x="2758"/>
        <item sd="0" x="2759"/>
        <item sd="0" x="2760"/>
        <item sd="0" x="2761"/>
        <item sd="0" x="2762"/>
        <item sd="0" x="2763"/>
        <item sd="0" x="2764"/>
        <item sd="0" x="2765"/>
        <item sd="0" x="2766"/>
        <item sd="0" x="2767"/>
        <item sd="0" x="2768"/>
        <item sd="0" x="2769"/>
        <item sd="0" x="2770"/>
        <item sd="0" x="2771"/>
        <item sd="0" x="2772"/>
        <item sd="0" x="2773"/>
        <item sd="0" x="2774"/>
        <item sd="0" x="2775"/>
        <item sd="0" x="2776"/>
        <item sd="0" x="2777"/>
        <item sd="0" x="2778"/>
        <item sd="0" x="2779"/>
        <item sd="0" x="2780"/>
        <item sd="0" x="2781"/>
        <item sd="0" x="2782"/>
        <item sd="0" x="2783"/>
        <item sd="0" x="2784"/>
        <item sd="0" x="2785"/>
        <item sd="0" x="2786"/>
        <item sd="0" x="2787"/>
        <item sd="0" x="2788"/>
        <item sd="0" x="2789"/>
        <item sd="0" x="2790"/>
        <item sd="0" x="2791"/>
        <item sd="0" x="2792"/>
        <item sd="0" x="2793"/>
        <item sd="0" x="2794"/>
        <item sd="0" x="2795"/>
        <item sd="0" x="2796"/>
        <item sd="0" x="2797"/>
        <item sd="0" x="2798"/>
        <item sd="0" x="2799"/>
        <item sd="0" x="2800"/>
        <item sd="0" x="2801"/>
        <item sd="0" x="2802"/>
        <item sd="0" x="2803"/>
        <item sd="0" x="2804"/>
        <item sd="0" x="2805"/>
        <item sd="0" x="2806"/>
        <item sd="0" x="2807"/>
        <item sd="0" x="2808"/>
        <item sd="0" x="2809"/>
        <item sd="0" x="2810"/>
        <item sd="0" x="2811"/>
        <item sd="0" x="2812"/>
        <item sd="0" x="2813"/>
        <item sd="0" x="2814"/>
        <item sd="0" x="2815"/>
        <item sd="0" x="2816"/>
        <item sd="0" x="2817"/>
        <item sd="0" x="2818"/>
        <item sd="0" x="2819"/>
        <item sd="0" x="2820"/>
        <item sd="0" x="2821"/>
        <item sd="0" x="2822"/>
        <item sd="0" x="2823"/>
        <item sd="0" x="2824"/>
        <item sd="0" x="2825"/>
        <item sd="0" x="2826"/>
        <item sd="0" x="2827"/>
        <item sd="0" x="2828"/>
        <item sd="0" x="2829"/>
        <item sd="0" x="2830"/>
        <item sd="0" x="2831"/>
        <item sd="0" x="2832"/>
        <item sd="0" x="2833"/>
        <item sd="0" x="2834"/>
        <item sd="0" x="2835"/>
        <item sd="0" x="2836"/>
        <item sd="0" x="2837"/>
        <item sd="0" x="2838"/>
        <item sd="0" x="2839"/>
        <item sd="0" x="2840"/>
        <item sd="0" x="2841"/>
        <item sd="0" x="2842"/>
        <item sd="0" x="2843"/>
        <item sd="0" x="2844"/>
        <item sd="0" x="2845"/>
        <item sd="0" x="2846"/>
        <item sd="0" x="2847"/>
        <item sd="0" x="2848"/>
        <item sd="0" x="2849"/>
        <item sd="0" x="2850"/>
        <item sd="0" x="2851"/>
        <item sd="0" x="2852"/>
        <item sd="0" x="2853"/>
        <item sd="0" x="2854"/>
        <item sd="0" x="2855"/>
        <item sd="0" x="2856"/>
        <item sd="0" x="2857"/>
        <item sd="0" x="2858"/>
        <item sd="0" x="2859"/>
        <item sd="0" x="2860"/>
        <item sd="0" x="2861"/>
        <item sd="0" x="2862"/>
        <item sd="0" x="2863"/>
        <item sd="0" x="2864"/>
        <item sd="0" x="2865"/>
        <item sd="0" x="2866"/>
        <item sd="0" x="2867"/>
        <item sd="0" x="2868"/>
        <item sd="0" x="2869"/>
        <item sd="0" x="2870"/>
        <item sd="0" x="2871"/>
        <item sd="0" x="2872"/>
        <item sd="0" x="2873"/>
        <item sd="0" x="2874"/>
        <item sd="0" x="2875"/>
        <item sd="0" x="2876"/>
        <item sd="0" x="2877"/>
        <item sd="0" x="2878"/>
        <item sd="0" x="2879"/>
        <item sd="0" x="2880"/>
        <item sd="0" x="2881"/>
        <item sd="0" x="2882"/>
        <item sd="0" x="2883"/>
        <item sd="0" x="2884"/>
        <item sd="0" x="2885"/>
        <item sd="0" x="2886"/>
        <item sd="0" x="2887"/>
        <item sd="0" x="2888"/>
        <item sd="0" x="2889"/>
        <item sd="0" x="2890"/>
        <item sd="0" x="2891"/>
        <item sd="0" x="2892"/>
        <item sd="0" x="2893"/>
        <item sd="0" x="2894"/>
        <item sd="0" x="2895"/>
        <item sd="0" x="2896"/>
        <item sd="0" x="2897"/>
        <item sd="0" x="2898"/>
        <item sd="0" x="2899"/>
        <item sd="0" x="2900"/>
        <item sd="0" x="2901"/>
        <item sd="0" x="2902"/>
        <item sd="0" x="2903"/>
        <item sd="0" x="2904"/>
        <item sd="0" x="2905"/>
        <item sd="0" x="2906"/>
        <item sd="0" x="2907"/>
        <item sd="0" x="2908"/>
        <item sd="0" x="2909"/>
        <item sd="0" x="2910"/>
        <item sd="0" x="2911"/>
        <item sd="0" x="2912"/>
        <item sd="0" x="2913"/>
        <item sd="0" x="2914"/>
        <item sd="0" x="2915"/>
        <item sd="0" x="2916"/>
        <item sd="0" x="2917"/>
        <item sd="0" x="2918"/>
        <item sd="0" x="2919"/>
        <item sd="0" x="2920"/>
        <item sd="0" x="2921"/>
        <item sd="0" x="2922"/>
        <item sd="0" x="2923"/>
        <item sd="0" x="2924"/>
        <item sd="0" x="2925"/>
        <item sd="0" x="2926"/>
        <item sd="0" x="2927"/>
        <item sd="0" x="2928"/>
        <item sd="0" x="2929"/>
        <item sd="0" x="2930"/>
        <item sd="0" x="2931"/>
        <item sd="0" x="2932"/>
        <item sd="0" x="2933"/>
        <item sd="0" x="2934"/>
        <item sd="0" x="2935"/>
        <item sd="0" x="2936"/>
        <item sd="0" x="2937"/>
        <item sd="0" x="2938"/>
        <item sd="0" x="2939"/>
        <item sd="0" x="2940"/>
        <item sd="0" x="2941"/>
        <item sd="0" x="2942"/>
        <item sd="0" x="2943"/>
        <item sd="0" x="2944"/>
        <item sd="0" x="2945"/>
        <item sd="0" x="2946"/>
        <item sd="0" x="2947"/>
        <item sd="0" x="2948"/>
        <item sd="0" x="2949"/>
        <item sd="0" x="2950"/>
        <item sd="0" x="2951"/>
        <item sd="0" x="2952"/>
        <item sd="0" x="2953"/>
        <item sd="0" x="2954"/>
        <item sd="0" x="2955"/>
        <item sd="0" x="2956"/>
        <item sd="0" x="2957"/>
        <item sd="0" x="2958"/>
        <item sd="0" x="2959"/>
        <item sd="0" x="2960"/>
        <item sd="0" x="2961"/>
        <item sd="0" x="2962"/>
        <item sd="0" x="2963"/>
        <item sd="0" x="2964"/>
        <item sd="0" x="2965"/>
        <item sd="0" x="2966"/>
        <item sd="0" x="2967"/>
        <item sd="0" x="2968"/>
        <item sd="0" x="2969"/>
        <item sd="0" x="2970"/>
        <item sd="0" x="2971"/>
        <item sd="0" x="2972"/>
        <item sd="0" x="2973"/>
        <item sd="0" x="2974"/>
        <item sd="0" x="2975"/>
        <item sd="0" x="2976"/>
        <item sd="0" x="2977"/>
        <item sd="0" x="2978"/>
        <item sd="0" x="2979"/>
        <item sd="0" x="2980"/>
        <item sd="0" x="2981"/>
        <item sd="0" x="2982"/>
        <item sd="0" x="2983"/>
        <item sd="0" x="2984"/>
        <item sd="0" x="2985"/>
        <item sd="0" x="2986"/>
        <item sd="0" x="2987"/>
        <item sd="0" x="2988"/>
        <item sd="0" x="2989"/>
        <item sd="0" x="2990"/>
        <item sd="0" x="2991"/>
        <item sd="0" x="2992"/>
        <item sd="0" x="2993"/>
        <item sd="0" x="2994"/>
        <item sd="0" x="2995"/>
        <item sd="0" x="2996"/>
        <item sd="0" x="2997"/>
        <item sd="0" x="2998"/>
        <item sd="0" x="2999"/>
        <item sd="0" x="3000"/>
        <item sd="0" x="3001"/>
        <item sd="0" x="3002"/>
        <item sd="0" x="3003"/>
        <item sd="0" x="3004"/>
        <item sd="0" x="3005"/>
        <item sd="0" x="3006"/>
        <item sd="0" x="3007"/>
        <item sd="0" x="3008"/>
        <item sd="0" x="3009"/>
        <item sd="0" x="3010"/>
        <item sd="0" x="3011"/>
        <item sd="0" x="3012"/>
        <item sd="0" x="3013"/>
        <item sd="0" x="3014"/>
        <item sd="0" x="3015"/>
        <item sd="0" x="3016"/>
        <item sd="0" x="3017"/>
        <item sd="0" x="3018"/>
        <item sd="0" x="3019"/>
        <item sd="0" x="3020"/>
        <item sd="0" x="3021"/>
        <item sd="0" x="3022"/>
        <item sd="0" x="3023"/>
        <item sd="0" x="3024"/>
        <item sd="0" x="3025"/>
        <item sd="0" x="3026"/>
        <item sd="0" x="3027"/>
        <item sd="0" x="3028"/>
        <item sd="0" x="3029"/>
        <item sd="0" x="3030"/>
        <item sd="0" x="3031"/>
        <item sd="0" x="3032"/>
        <item sd="0" x="3033"/>
        <item sd="0" x="3034"/>
        <item sd="0" x="3035"/>
        <item sd="0" x="3036"/>
        <item sd="0" x="3037"/>
        <item sd="0" x="3038"/>
        <item sd="0" x="3039"/>
        <item sd="0" x="3040"/>
        <item sd="0" x="3041"/>
        <item sd="0" x="3042"/>
        <item sd="0" x="3043"/>
        <item sd="0" x="3044"/>
        <item sd="0" x="3045"/>
        <item sd="0" x="3046"/>
        <item sd="0" x="3047"/>
        <item sd="0" x="3048"/>
        <item sd="0" x="3049"/>
        <item sd="0" x="3050"/>
        <item sd="0" x="3051"/>
        <item sd="0" x="3052"/>
        <item sd="0" x="3053"/>
        <item sd="0" x="3054"/>
        <item sd="0" x="3055"/>
        <item sd="0" x="3056"/>
        <item sd="0" x="3057"/>
        <item sd="0" x="3058"/>
        <item sd="0" x="3059"/>
        <item sd="0" x="3060"/>
        <item sd="0" x="3061"/>
        <item sd="0" x="3062"/>
        <item sd="0" x="3063"/>
        <item sd="0" x="3064"/>
        <item sd="0" x="3065"/>
        <item sd="0" x="3066"/>
        <item sd="0" x="3067"/>
        <item sd="0" x="3068"/>
        <item sd="0" x="3069"/>
        <item sd="0" x="3070"/>
        <item sd="0" x="3071"/>
        <item sd="0" x="3072"/>
        <item sd="0" x="3073"/>
        <item sd="0" x="3074"/>
        <item sd="0" x="3075"/>
        <item sd="0" x="3076"/>
        <item sd="0" x="3077"/>
        <item sd="0" x="3078"/>
        <item sd="0" x="3079"/>
        <item sd="0" x="3080"/>
        <item sd="0" x="3081"/>
        <item sd="0" x="3082"/>
        <item sd="0" x="3083"/>
        <item sd="0" x="3084"/>
        <item sd="0" x="3085"/>
        <item sd="0" x="3086"/>
        <item sd="0" x="3087"/>
        <item sd="0" x="3088"/>
        <item sd="0" x="3089"/>
        <item sd="0" x="3090"/>
        <item sd="0" x="3091"/>
        <item sd="0" x="3092"/>
        <item sd="0" x="3093"/>
        <item sd="0" x="3094"/>
        <item sd="0" x="3095"/>
        <item sd="0" x="3096"/>
        <item sd="0" x="3097"/>
        <item sd="0" x="3098"/>
        <item sd="0" x="3099"/>
        <item sd="0" x="3100"/>
        <item sd="0" x="3101"/>
        <item sd="0" x="3102"/>
        <item sd="0" x="3103"/>
        <item sd="0" x="3104"/>
        <item sd="0" x="3105"/>
        <item sd="0" x="3106"/>
        <item sd="0" x="3107"/>
        <item sd="0" x="3108"/>
        <item sd="0" x="3109"/>
        <item sd="0" x="3110"/>
        <item sd="0" x="3111"/>
        <item sd="0" x="3112"/>
        <item sd="0" x="3113"/>
        <item sd="0" x="3114"/>
        <item sd="0" x="3115"/>
        <item sd="0" x="3116"/>
        <item sd="0" x="3117"/>
        <item sd="0" x="3118"/>
        <item sd="0" x="3119"/>
        <item sd="0" x="3120"/>
        <item sd="0" x="3121"/>
        <item sd="0" x="3122"/>
        <item sd="0" x="3123"/>
        <item sd="0" x="3124"/>
        <item sd="0" x="3125"/>
        <item sd="0" x="3126"/>
        <item sd="0" x="3127"/>
        <item sd="0" x="3128"/>
        <item sd="0" x="3129"/>
        <item sd="0" x="3130"/>
        <item sd="0" x="3131"/>
        <item sd="0" x="3132"/>
        <item sd="0" x="3133"/>
        <item sd="0" x="3134"/>
        <item sd="0" x="3135"/>
        <item sd="0" x="3136"/>
        <item sd="0" x="3137"/>
        <item sd="0" x="3138"/>
        <item sd="0" x="3139"/>
        <item sd="0" x="3140"/>
        <item sd="0" x="3141"/>
        <item sd="0" x="3142"/>
        <item sd="0" x="3143"/>
        <item sd="0" x="3144"/>
        <item sd="0" x="3145"/>
        <item sd="0" x="3146"/>
        <item sd="0" x="3147"/>
        <item sd="0" x="3148"/>
        <item sd="0" x="3149"/>
        <item sd="0" x="3150"/>
        <item sd="0" x="3151"/>
        <item sd="0" x="3152"/>
        <item sd="0" x="3153"/>
        <item sd="0" x="3154"/>
        <item sd="0" x="3155"/>
        <item sd="0" x="3156"/>
        <item sd="0" x="3157"/>
        <item sd="0" x="3158"/>
        <item sd="0" x="3159"/>
        <item sd="0" x="3160"/>
        <item sd="0" x="3161"/>
        <item sd="0" x="3162"/>
        <item sd="0" x="3163"/>
        <item sd="0" x="3164"/>
        <item sd="0" x="3165"/>
        <item sd="0" x="3166"/>
        <item sd="0" x="3167"/>
        <item sd="0" x="3168"/>
        <item sd="0" x="3169"/>
        <item sd="0" x="3170"/>
        <item sd="0" x="3171"/>
        <item sd="0" x="3172"/>
        <item sd="0" x="3173"/>
        <item sd="0" x="3174"/>
        <item sd="0" x="3175"/>
        <item sd="0" x="3176"/>
        <item sd="0" x="3177"/>
        <item sd="0" x="3178"/>
        <item sd="0" x="3179"/>
        <item sd="0" x="3180"/>
        <item sd="0" x="3181"/>
        <item sd="0" x="3182"/>
        <item sd="0" x="3183"/>
        <item sd="0" x="3184"/>
        <item sd="0" x="3185"/>
        <item sd="0" x="3186"/>
        <item sd="0" x="3187"/>
        <item sd="0" x="3188"/>
        <item sd="0" x="3189"/>
        <item sd="0" x="3190"/>
        <item sd="0" x="3191"/>
        <item sd="0" x="3192"/>
        <item sd="0" x="3193"/>
        <item sd="0" x="3194"/>
        <item sd="0" x="3195"/>
        <item sd="0" x="3196"/>
        <item sd="0" x="3197"/>
        <item sd="0" x="3198"/>
        <item sd="0" x="3199"/>
        <item sd="0" x="3200"/>
        <item sd="0" x="3201"/>
        <item sd="0" x="3202"/>
        <item sd="0" x="3203"/>
        <item sd="0" x="3204"/>
        <item sd="0" x="3205"/>
        <item sd="0" x="3206"/>
        <item sd="0" x="3207"/>
        <item sd="0" x="3208"/>
        <item sd="0" x="3209"/>
        <item sd="0" x="3210"/>
        <item sd="0" x="3211"/>
        <item sd="0" x="3212"/>
        <item sd="0" x="3213"/>
        <item sd="0" x="3214"/>
        <item sd="0" x="3215"/>
        <item sd="0" x="3216"/>
        <item sd="0" x="3217"/>
        <item sd="0" x="3218"/>
        <item sd="0" x="3219"/>
        <item sd="0" x="3220"/>
        <item sd="0" x="3221"/>
        <item sd="0" x="3222"/>
        <item sd="0" x="3223"/>
        <item sd="0" x="3224"/>
        <item sd="0" x="3225"/>
        <item sd="0" x="3226"/>
        <item sd="0" x="3227"/>
        <item sd="0" x="3228"/>
        <item sd="0" x="3229"/>
        <item sd="0" x="3230"/>
        <item sd="0" x="3231"/>
        <item sd="0" x="3232"/>
        <item sd="0" x="3233"/>
        <item sd="0" x="3234"/>
        <item sd="0" x="3235"/>
        <item sd="0" x="3236"/>
        <item sd="0" x="3237"/>
        <item sd="0" x="3238"/>
        <item sd="0" x="3239"/>
        <item sd="0" x="3240"/>
        <item sd="0" x="3241"/>
        <item sd="0" x="3242"/>
        <item t="default"/>
      </items>
    </pivotField>
  </pivotFields>
  <rowFields count="1">
    <field x="1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Revenue" fld="10" baseField="0" baseItem="0"/>
    <dataField name="Count of Order_ID" fld="0" subtotal="count" baseField="0" baseItem="0"/>
    <dataField name="Sum of Qty" fld="6" baseField="0" baseItem="0"/>
  </dataFields>
  <formats count="2">
    <format dxfId="29">
      <pivotArea collapsedLevelsAreSubtotals="1" fieldPosition="0">
        <references count="2">
          <reference field="4294967294" count="1" selected="0">
            <x v="0"/>
          </reference>
          <reference field="11" count="12">
            <x v="1"/>
            <x v="2"/>
            <x v="3"/>
            <x v="4"/>
            <x v="5"/>
            <x v="6"/>
            <x v="7"/>
            <x v="8"/>
            <x v="9"/>
            <x v="10"/>
            <x v="11"/>
            <x v="12"/>
          </reference>
        </references>
      </pivotArea>
    </format>
    <format dxfId="30">
      <pivotArea collapsedLevelsAreSubtotals="1" fieldPosition="0">
        <references count="2">
          <reference field="4294967294" count="1" selected="0">
            <x v="0"/>
          </reference>
          <reference field="11" count="12">
            <x v="1"/>
            <x v="2"/>
            <x v="3"/>
            <x v="4"/>
            <x v="5"/>
            <x v="6"/>
            <x v="7"/>
            <x v="8"/>
            <x v="9"/>
            <x v="10"/>
            <x v="11"/>
            <x v="12"/>
          </reference>
        </references>
      </pivotArea>
    </format>
  </formats>
  <chartFormats count="3">
    <chartFormat chart="18"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B0076-7846-4913-AF30-0DDF3F7EBE2F}"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1:D23" firstHeaderRow="0" firstDataRow="1" firstDataCol="1"/>
  <pivotFields count="14">
    <pivotField showAll="0"/>
    <pivotField numFmtId="165" showAll="0">
      <items count="343">
        <item x="286"/>
        <item x="287"/>
        <item x="122"/>
        <item x="157"/>
        <item x="265"/>
        <item x="313"/>
        <item x="179"/>
        <item x="58"/>
        <item x="254"/>
        <item x="178"/>
        <item x="235"/>
        <item x="211"/>
        <item x="304"/>
        <item x="88"/>
        <item x="125"/>
        <item x="266"/>
        <item x="272"/>
        <item x="303"/>
        <item x="340"/>
        <item x="261"/>
        <item x="251"/>
        <item x="302"/>
        <item x="183"/>
        <item x="262"/>
        <item x="335"/>
        <item x="320"/>
        <item x="194"/>
        <item x="331"/>
        <item x="99"/>
        <item x="257"/>
        <item x="54"/>
        <item x="245"/>
        <item x="117"/>
        <item x="112"/>
        <item x="144"/>
        <item x="311"/>
        <item x="239"/>
        <item x="62"/>
        <item x="298"/>
        <item x="101"/>
        <item x="184"/>
        <item x="171"/>
        <item x="222"/>
        <item x="199"/>
        <item x="273"/>
        <item x="155"/>
        <item x="338"/>
        <item x="230"/>
        <item x="297"/>
        <item x="231"/>
        <item x="216"/>
        <item x="337"/>
        <item x="80"/>
        <item x="196"/>
        <item x="9"/>
        <item x="258"/>
        <item x="325"/>
        <item x="59"/>
        <item x="77"/>
        <item x="49"/>
        <item x="290"/>
        <item x="44"/>
        <item x="92"/>
        <item x="43"/>
        <item x="38"/>
        <item x="127"/>
        <item x="65"/>
        <item x="89"/>
        <item x="263"/>
        <item x="114"/>
        <item x="3"/>
        <item x="323"/>
        <item x="63"/>
        <item x="18"/>
        <item x="134"/>
        <item x="136"/>
        <item x="68"/>
        <item x="53"/>
        <item x="115"/>
        <item x="226"/>
        <item x="20"/>
        <item x="61"/>
        <item x="29"/>
        <item x="243"/>
        <item x="48"/>
        <item x="212"/>
        <item x="149"/>
        <item x="16"/>
        <item x="220"/>
        <item x="307"/>
        <item x="255"/>
        <item x="137"/>
        <item x="146"/>
        <item x="202"/>
        <item x="277"/>
        <item x="259"/>
        <item x="249"/>
        <item x="232"/>
        <item x="219"/>
        <item x="14"/>
        <item x="163"/>
        <item x="319"/>
        <item x="284"/>
        <item x="12"/>
        <item x="305"/>
        <item x="201"/>
        <item x="73"/>
        <item x="260"/>
        <item x="172"/>
        <item x="326"/>
        <item x="192"/>
        <item x="132"/>
        <item x="105"/>
        <item x="129"/>
        <item x="316"/>
        <item x="190"/>
        <item x="135"/>
        <item x="223"/>
        <item x="292"/>
        <item x="165"/>
        <item x="100"/>
        <item x="208"/>
        <item x="96"/>
        <item x="271"/>
        <item x="110"/>
        <item x="26"/>
        <item x="330"/>
        <item x="152"/>
        <item x="4"/>
        <item x="41"/>
        <item x="6"/>
        <item x="334"/>
        <item x="0"/>
        <item x="130"/>
        <item x="40"/>
        <item x="145"/>
        <item x="1"/>
        <item x="106"/>
        <item x="228"/>
        <item x="193"/>
        <item x="295"/>
        <item x="131"/>
        <item x="138"/>
        <item x="13"/>
        <item x="128"/>
        <item x="333"/>
        <item x="301"/>
        <item x="270"/>
        <item x="280"/>
        <item x="215"/>
        <item x="142"/>
        <item x="85"/>
        <item x="103"/>
        <item x="234"/>
        <item x="289"/>
        <item x="83"/>
        <item x="336"/>
        <item x="285"/>
        <item x="318"/>
        <item x="104"/>
        <item x="121"/>
        <item x="309"/>
        <item x="189"/>
        <item x="299"/>
        <item x="94"/>
        <item x="133"/>
        <item x="210"/>
        <item x="269"/>
        <item x="256"/>
        <item x="156"/>
        <item x="79"/>
        <item x="329"/>
        <item x="35"/>
        <item x="182"/>
        <item x="50"/>
        <item x="206"/>
        <item x="203"/>
        <item x="87"/>
        <item x="324"/>
        <item x="67"/>
        <item x="250"/>
        <item x="51"/>
        <item x="56"/>
        <item x="310"/>
        <item x="141"/>
        <item x="81"/>
        <item x="124"/>
        <item x="151"/>
        <item x="126"/>
        <item x="8"/>
        <item x="123"/>
        <item x="84"/>
        <item x="177"/>
        <item x="328"/>
        <item x="78"/>
        <item x="27"/>
        <item x="248"/>
        <item x="21"/>
        <item x="214"/>
        <item x="22"/>
        <item x="312"/>
        <item x="195"/>
        <item x="204"/>
        <item x="57"/>
        <item x="240"/>
        <item x="159"/>
        <item x="169"/>
        <item x="52"/>
        <item x="300"/>
        <item x="229"/>
        <item x="306"/>
        <item x="268"/>
        <item x="91"/>
        <item x="281"/>
        <item x="252"/>
        <item x="191"/>
        <item x="291"/>
        <item x="217"/>
        <item x="233"/>
        <item x="86"/>
        <item x="175"/>
        <item x="288"/>
        <item x="238"/>
        <item x="158"/>
        <item x="36"/>
        <item x="15"/>
        <item x="275"/>
        <item x="267"/>
        <item x="186"/>
        <item x="140"/>
        <item x="332"/>
        <item x="7"/>
        <item x="97"/>
        <item x="187"/>
        <item x="32"/>
        <item x="82"/>
        <item x="45"/>
        <item x="317"/>
        <item x="227"/>
        <item x="296"/>
        <item x="75"/>
        <item x="241"/>
        <item x="143"/>
        <item x="113"/>
        <item x="283"/>
        <item x="294"/>
        <item x="148"/>
        <item x="46"/>
        <item x="19"/>
        <item x="322"/>
        <item x="39"/>
        <item x="72"/>
        <item x="164"/>
        <item x="30"/>
        <item x="218"/>
        <item x="276"/>
        <item x="161"/>
        <item x="90"/>
        <item x="120"/>
        <item x="314"/>
        <item x="197"/>
        <item x="205"/>
        <item x="293"/>
        <item x="76"/>
        <item x="166"/>
        <item x="237"/>
        <item x="74"/>
        <item x="181"/>
        <item x="170"/>
        <item x="34"/>
        <item x="327"/>
        <item x="321"/>
        <item x="23"/>
        <item x="185"/>
        <item x="242"/>
        <item x="69"/>
        <item x="224"/>
        <item x="247"/>
        <item x="31"/>
        <item x="111"/>
        <item x="279"/>
        <item x="17"/>
        <item x="93"/>
        <item x="167"/>
        <item x="47"/>
        <item x="160"/>
        <item x="118"/>
        <item x="10"/>
        <item x="64"/>
        <item x="147"/>
        <item x="213"/>
        <item x="221"/>
        <item x="55"/>
        <item x="119"/>
        <item x="173"/>
        <item x="188"/>
        <item x="2"/>
        <item x="102"/>
        <item x="150"/>
        <item x="253"/>
        <item x="33"/>
        <item x="28"/>
        <item x="107"/>
        <item x="24"/>
        <item x="225"/>
        <item x="60"/>
        <item x="308"/>
        <item x="25"/>
        <item x="236"/>
        <item x="70"/>
        <item x="244"/>
        <item x="108"/>
        <item x="37"/>
        <item x="162"/>
        <item x="139"/>
        <item x="176"/>
        <item x="98"/>
        <item x="278"/>
        <item x="109"/>
        <item x="66"/>
        <item x="315"/>
        <item x="153"/>
        <item x="174"/>
        <item x="198"/>
        <item x="274"/>
        <item x="207"/>
        <item x="42"/>
        <item x="5"/>
        <item x="154"/>
        <item x="95"/>
        <item x="209"/>
        <item x="11"/>
        <item x="246"/>
        <item x="264"/>
        <item x="180"/>
        <item x="116"/>
        <item x="71"/>
        <item x="200"/>
        <item x="282"/>
        <item x="168"/>
        <item x="339"/>
        <item x="341"/>
        <item t="default"/>
      </items>
    </pivotField>
    <pivotField showAll="0"/>
    <pivotField showAll="0"/>
    <pivotField axis="axisRow" showAll="0" sortType="descending">
      <items count="13">
        <item m="1" x="11"/>
        <item x="6"/>
        <item x="2"/>
        <item x="0"/>
        <item x="7"/>
        <item x="5"/>
        <item x="1"/>
        <item x="8"/>
        <item x="10"/>
        <item x="4"/>
        <item x="9"/>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ataField="1" showAll="0"/>
    <pivotField showAll="0" defaultSubtotal="0"/>
    <pivotField showAll="0" defaultSubtotal="0"/>
    <pivotField showAll="0" defaultSubtotal="0">
      <items count="3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s>
    </pivotField>
  </pivotFields>
  <rowFields count="1">
    <field x="4"/>
  </rowFields>
  <rowItems count="12">
    <i>
      <x v="3"/>
    </i>
    <i>
      <x v="11"/>
    </i>
    <i>
      <x v="4"/>
    </i>
    <i>
      <x v="6"/>
    </i>
    <i>
      <x v="7"/>
    </i>
    <i>
      <x v="9"/>
    </i>
    <i>
      <x v="5"/>
    </i>
    <i>
      <x v="1"/>
    </i>
    <i>
      <x v="10"/>
    </i>
    <i>
      <x v="8"/>
    </i>
    <i>
      <x v="2"/>
    </i>
    <i t="grand">
      <x/>
    </i>
  </rowItems>
  <colFields count="1">
    <field x="-2"/>
  </colFields>
  <colItems count="2">
    <i>
      <x/>
    </i>
    <i i="1">
      <x v="1"/>
    </i>
  </colItems>
  <dataFields count="2">
    <dataField name="Sum of Revenue" fld="10" baseField="0" baseItem="0"/>
    <dataField name="Sum of Qty" fld="6" baseField="0" baseItem="0"/>
  </dataFields>
  <formats count="4">
    <format dxfId="18">
      <pivotArea collapsedLevelsAreSubtotals="1" fieldPosition="0">
        <references count="2">
          <reference field="4294967294" count="1" selected="0">
            <x v="0"/>
          </reference>
          <reference field="4" count="0"/>
        </references>
      </pivotArea>
    </format>
    <format dxfId="17">
      <pivotArea collapsedLevelsAreSubtotals="1" fieldPosition="0">
        <references count="2">
          <reference field="4294967294" count="1" selected="0">
            <x v="0"/>
          </reference>
          <reference field="4" count="0"/>
        </references>
      </pivotArea>
    </format>
    <format dxfId="16">
      <pivotArea grandRow="1" outline="0" collapsedLevelsAreSubtotals="1" fieldPosition="0"/>
    </format>
    <format dxfId="15">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5F340-17BA-4385-8E18-D74A49D20D0A}"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C10" firstHeaderRow="1" firstDataRow="1" firstDataCol="1"/>
  <pivotFields count="14">
    <pivotField showAll="0"/>
    <pivotField numFmtId="165" showAll="0">
      <items count="343">
        <item x="286"/>
        <item x="287"/>
        <item x="122"/>
        <item x="157"/>
        <item x="265"/>
        <item x="313"/>
        <item x="179"/>
        <item x="58"/>
        <item x="254"/>
        <item x="178"/>
        <item x="235"/>
        <item x="211"/>
        <item x="304"/>
        <item x="88"/>
        <item x="125"/>
        <item x="266"/>
        <item x="272"/>
        <item x="303"/>
        <item x="340"/>
        <item x="261"/>
        <item x="251"/>
        <item x="302"/>
        <item x="183"/>
        <item x="262"/>
        <item x="335"/>
        <item x="320"/>
        <item x="194"/>
        <item x="331"/>
        <item x="99"/>
        <item x="257"/>
        <item x="54"/>
        <item x="245"/>
        <item x="117"/>
        <item x="112"/>
        <item x="144"/>
        <item x="311"/>
        <item x="239"/>
        <item x="62"/>
        <item x="298"/>
        <item x="101"/>
        <item x="184"/>
        <item x="171"/>
        <item x="222"/>
        <item x="199"/>
        <item x="273"/>
        <item x="155"/>
        <item x="338"/>
        <item x="230"/>
        <item x="297"/>
        <item x="231"/>
        <item x="216"/>
        <item x="337"/>
        <item x="80"/>
        <item x="196"/>
        <item x="9"/>
        <item x="258"/>
        <item x="325"/>
        <item x="59"/>
        <item x="77"/>
        <item x="49"/>
        <item x="290"/>
        <item x="44"/>
        <item x="92"/>
        <item x="43"/>
        <item x="38"/>
        <item x="127"/>
        <item x="65"/>
        <item x="89"/>
        <item x="263"/>
        <item x="114"/>
        <item x="3"/>
        <item x="323"/>
        <item x="63"/>
        <item x="18"/>
        <item x="134"/>
        <item x="136"/>
        <item x="68"/>
        <item x="53"/>
        <item x="115"/>
        <item x="226"/>
        <item x="20"/>
        <item x="61"/>
        <item x="29"/>
        <item x="243"/>
        <item x="48"/>
        <item x="212"/>
        <item x="149"/>
        <item x="16"/>
        <item x="220"/>
        <item x="307"/>
        <item x="255"/>
        <item x="137"/>
        <item x="146"/>
        <item x="202"/>
        <item x="277"/>
        <item x="259"/>
        <item x="249"/>
        <item x="232"/>
        <item x="219"/>
        <item x="14"/>
        <item x="163"/>
        <item x="319"/>
        <item x="284"/>
        <item x="12"/>
        <item x="305"/>
        <item x="201"/>
        <item x="73"/>
        <item x="260"/>
        <item x="172"/>
        <item x="326"/>
        <item x="192"/>
        <item x="132"/>
        <item x="105"/>
        <item x="129"/>
        <item x="316"/>
        <item x="190"/>
        <item x="135"/>
        <item x="223"/>
        <item x="292"/>
        <item x="165"/>
        <item x="100"/>
        <item x="208"/>
        <item x="96"/>
        <item x="271"/>
        <item x="110"/>
        <item x="26"/>
        <item x="330"/>
        <item x="152"/>
        <item x="4"/>
        <item x="41"/>
        <item x="6"/>
        <item x="334"/>
        <item x="0"/>
        <item x="130"/>
        <item x="40"/>
        <item x="145"/>
        <item x="1"/>
        <item x="106"/>
        <item x="228"/>
        <item x="193"/>
        <item x="295"/>
        <item x="131"/>
        <item x="138"/>
        <item x="13"/>
        <item x="128"/>
        <item x="333"/>
        <item x="301"/>
        <item x="270"/>
        <item x="280"/>
        <item x="215"/>
        <item x="142"/>
        <item x="85"/>
        <item x="103"/>
        <item x="234"/>
        <item x="289"/>
        <item x="83"/>
        <item x="336"/>
        <item x="285"/>
        <item x="318"/>
        <item x="104"/>
        <item x="121"/>
        <item x="309"/>
        <item x="189"/>
        <item x="299"/>
        <item x="94"/>
        <item x="133"/>
        <item x="210"/>
        <item x="269"/>
        <item x="256"/>
        <item x="156"/>
        <item x="79"/>
        <item x="329"/>
        <item x="35"/>
        <item x="182"/>
        <item x="50"/>
        <item x="206"/>
        <item x="203"/>
        <item x="87"/>
        <item x="324"/>
        <item x="67"/>
        <item x="250"/>
        <item x="51"/>
        <item x="56"/>
        <item x="310"/>
        <item x="141"/>
        <item x="81"/>
        <item x="124"/>
        <item x="151"/>
        <item x="126"/>
        <item x="8"/>
        <item x="123"/>
        <item x="84"/>
        <item x="177"/>
        <item x="328"/>
        <item x="78"/>
        <item x="27"/>
        <item x="248"/>
        <item x="21"/>
        <item x="214"/>
        <item x="22"/>
        <item x="312"/>
        <item x="195"/>
        <item x="204"/>
        <item x="57"/>
        <item x="240"/>
        <item x="159"/>
        <item x="169"/>
        <item x="52"/>
        <item x="300"/>
        <item x="229"/>
        <item x="306"/>
        <item x="268"/>
        <item x="91"/>
        <item x="281"/>
        <item x="252"/>
        <item x="191"/>
        <item x="291"/>
        <item x="217"/>
        <item x="233"/>
        <item x="86"/>
        <item x="175"/>
        <item x="288"/>
        <item x="238"/>
        <item x="158"/>
        <item x="36"/>
        <item x="15"/>
        <item x="275"/>
        <item x="267"/>
        <item x="186"/>
        <item x="140"/>
        <item x="332"/>
        <item x="7"/>
        <item x="97"/>
        <item x="187"/>
        <item x="32"/>
        <item x="82"/>
        <item x="45"/>
        <item x="317"/>
        <item x="227"/>
        <item x="296"/>
        <item x="75"/>
        <item x="241"/>
        <item x="143"/>
        <item x="113"/>
        <item x="283"/>
        <item x="294"/>
        <item x="148"/>
        <item x="46"/>
        <item x="19"/>
        <item x="322"/>
        <item x="39"/>
        <item x="72"/>
        <item x="164"/>
        <item x="30"/>
        <item x="218"/>
        <item x="276"/>
        <item x="161"/>
        <item x="90"/>
        <item x="120"/>
        <item x="314"/>
        <item x="197"/>
        <item x="205"/>
        <item x="293"/>
        <item x="76"/>
        <item x="166"/>
        <item x="237"/>
        <item x="74"/>
        <item x="181"/>
        <item x="170"/>
        <item x="34"/>
        <item x="327"/>
        <item x="321"/>
        <item x="23"/>
        <item x="185"/>
        <item x="242"/>
        <item x="69"/>
        <item x="224"/>
        <item x="247"/>
        <item x="31"/>
        <item x="111"/>
        <item x="279"/>
        <item x="17"/>
        <item x="93"/>
        <item x="167"/>
        <item x="47"/>
        <item x="160"/>
        <item x="118"/>
        <item x="10"/>
        <item x="64"/>
        <item x="147"/>
        <item x="213"/>
        <item x="221"/>
        <item x="55"/>
        <item x="119"/>
        <item x="173"/>
        <item x="188"/>
        <item x="2"/>
        <item x="102"/>
        <item x="150"/>
        <item x="253"/>
        <item x="33"/>
        <item x="28"/>
        <item x="107"/>
        <item x="24"/>
        <item x="225"/>
        <item x="60"/>
        <item x="308"/>
        <item x="25"/>
        <item x="236"/>
        <item x="70"/>
        <item x="244"/>
        <item x="108"/>
        <item x="37"/>
        <item x="162"/>
        <item x="139"/>
        <item x="176"/>
        <item x="98"/>
        <item x="278"/>
        <item x="109"/>
        <item x="66"/>
        <item x="315"/>
        <item x="153"/>
        <item x="174"/>
        <item x="198"/>
        <item x="274"/>
        <item x="207"/>
        <item x="42"/>
        <item x="5"/>
        <item x="154"/>
        <item x="95"/>
        <item x="209"/>
        <item x="11"/>
        <item x="246"/>
        <item x="264"/>
        <item x="180"/>
        <item x="116"/>
        <item x="71"/>
        <item x="200"/>
        <item x="282"/>
        <item x="168"/>
        <item x="339"/>
        <item x="341"/>
        <item t="default"/>
      </items>
    </pivotField>
    <pivotField showAll="0"/>
    <pivotField showAll="0"/>
    <pivotField showAll="0"/>
    <pivotField showAll="0"/>
    <pivotField showAll="0"/>
    <pivotField showAll="0"/>
    <pivotField showAll="0"/>
    <pivotField axis="axisRow" showAll="0" sortType="descending">
      <items count="6">
        <item x="1"/>
        <item x="0"/>
        <item x="2"/>
        <item h="1" x="4"/>
        <item x="3"/>
        <item t="default"/>
      </items>
      <autoSortScope>
        <pivotArea dataOnly="0" outline="0" fieldPosition="0">
          <references count="1">
            <reference field="4294967294" count="1" selected="0">
              <x v="0"/>
            </reference>
          </references>
        </pivotArea>
      </autoSortScope>
    </pivotField>
    <pivotField dataField="1" numFmtId="174" showAll="0"/>
    <pivotField showAll="0" defaultSubtotal="0"/>
    <pivotField showAll="0" defaultSubtotal="0"/>
    <pivotField showAll="0" defaultSubtotal="0">
      <items count="3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s>
    </pivotField>
  </pivotFields>
  <rowFields count="1">
    <field x="9"/>
  </rowFields>
  <rowItems count="5">
    <i>
      <x/>
    </i>
    <i>
      <x v="1"/>
    </i>
    <i>
      <x v="4"/>
    </i>
    <i>
      <x v="2"/>
    </i>
    <i t="grand">
      <x/>
    </i>
  </rowItems>
  <colItems count="1">
    <i/>
  </colItems>
  <dataFields count="1">
    <dataField name="Sum of Revenue" fld="10" baseField="0" baseItem="0" numFmtId="174"/>
  </dataFields>
  <formats count="2">
    <format dxfId="14">
      <pivotArea outline="0" collapsedLevelsAreSubtotals="1"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B4375-A0A5-44E6-8D4A-39EEB3CD2B11}"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8:E19" firstHeaderRow="0" firstDataRow="1" firstDataCol="1"/>
  <pivotFields count="14">
    <pivotField showAll="0"/>
    <pivotField numFmtId="165" showAll="0">
      <items count="343">
        <item x="286"/>
        <item x="287"/>
        <item x="122"/>
        <item x="157"/>
        <item x="265"/>
        <item x="313"/>
        <item x="179"/>
        <item x="58"/>
        <item x="254"/>
        <item x="178"/>
        <item x="235"/>
        <item x="211"/>
        <item x="304"/>
        <item x="88"/>
        <item x="125"/>
        <item x="266"/>
        <item x="272"/>
        <item x="303"/>
        <item x="340"/>
        <item x="261"/>
        <item x="251"/>
        <item x="302"/>
        <item x="183"/>
        <item x="262"/>
        <item x="335"/>
        <item x="320"/>
        <item x="194"/>
        <item x="331"/>
        <item x="99"/>
        <item x="257"/>
        <item x="54"/>
        <item x="245"/>
        <item x="117"/>
        <item x="112"/>
        <item x="144"/>
        <item x="311"/>
        <item x="239"/>
        <item x="62"/>
        <item x="298"/>
        <item x="101"/>
        <item x="184"/>
        <item x="171"/>
        <item x="222"/>
        <item x="199"/>
        <item x="273"/>
        <item x="155"/>
        <item x="338"/>
        <item x="230"/>
        <item x="297"/>
        <item x="231"/>
        <item x="216"/>
        <item x="337"/>
        <item x="80"/>
        <item x="196"/>
        <item x="9"/>
        <item x="258"/>
        <item x="325"/>
        <item x="59"/>
        <item x="77"/>
        <item x="49"/>
        <item x="290"/>
        <item x="44"/>
        <item x="92"/>
        <item x="43"/>
        <item x="38"/>
        <item x="127"/>
        <item x="65"/>
        <item x="89"/>
        <item x="263"/>
        <item x="114"/>
        <item x="3"/>
        <item x="323"/>
        <item x="63"/>
        <item x="18"/>
        <item x="134"/>
        <item x="136"/>
        <item x="68"/>
        <item x="53"/>
        <item x="115"/>
        <item x="226"/>
        <item x="20"/>
        <item x="61"/>
        <item x="29"/>
        <item x="243"/>
        <item x="48"/>
        <item x="212"/>
        <item x="149"/>
        <item x="16"/>
        <item x="220"/>
        <item x="307"/>
        <item x="255"/>
        <item x="137"/>
        <item x="146"/>
        <item x="202"/>
        <item x="277"/>
        <item x="259"/>
        <item x="249"/>
        <item x="232"/>
        <item x="219"/>
        <item x="14"/>
        <item x="163"/>
        <item x="319"/>
        <item x="284"/>
        <item x="12"/>
        <item x="305"/>
        <item x="201"/>
        <item x="73"/>
        <item x="260"/>
        <item x="172"/>
        <item x="326"/>
        <item x="192"/>
        <item x="132"/>
        <item x="105"/>
        <item x="129"/>
        <item x="316"/>
        <item x="190"/>
        <item x="135"/>
        <item x="223"/>
        <item x="292"/>
        <item x="165"/>
        <item x="100"/>
        <item x="208"/>
        <item x="96"/>
        <item x="271"/>
        <item x="110"/>
        <item x="26"/>
        <item x="330"/>
        <item x="152"/>
        <item x="4"/>
        <item x="41"/>
        <item x="6"/>
        <item x="334"/>
        <item x="0"/>
        <item x="130"/>
        <item x="40"/>
        <item x="145"/>
        <item x="1"/>
        <item x="106"/>
        <item x="228"/>
        <item x="193"/>
        <item x="295"/>
        <item x="131"/>
        <item x="138"/>
        <item x="13"/>
        <item x="128"/>
        <item x="333"/>
        <item x="301"/>
        <item x="270"/>
        <item x="280"/>
        <item x="215"/>
        <item x="142"/>
        <item x="85"/>
        <item x="103"/>
        <item x="234"/>
        <item x="289"/>
        <item x="83"/>
        <item x="336"/>
        <item x="285"/>
        <item x="318"/>
        <item x="104"/>
        <item x="121"/>
        <item x="309"/>
        <item x="189"/>
        <item x="299"/>
        <item x="94"/>
        <item x="133"/>
        <item x="210"/>
        <item x="269"/>
        <item x="256"/>
        <item x="156"/>
        <item x="79"/>
        <item x="329"/>
        <item x="35"/>
        <item x="182"/>
        <item x="50"/>
        <item x="206"/>
        <item x="203"/>
        <item x="87"/>
        <item x="324"/>
        <item x="67"/>
        <item x="250"/>
        <item x="51"/>
        <item x="56"/>
        <item x="310"/>
        <item x="141"/>
        <item x="81"/>
        <item x="124"/>
        <item x="151"/>
        <item x="126"/>
        <item x="8"/>
        <item x="123"/>
        <item x="84"/>
        <item x="177"/>
        <item x="328"/>
        <item x="78"/>
        <item x="27"/>
        <item x="248"/>
        <item x="21"/>
        <item x="214"/>
        <item x="22"/>
        <item x="312"/>
        <item x="195"/>
        <item x="204"/>
        <item x="57"/>
        <item x="240"/>
        <item x="159"/>
        <item x="169"/>
        <item x="52"/>
        <item x="300"/>
        <item x="229"/>
        <item x="306"/>
        <item x="268"/>
        <item x="91"/>
        <item x="281"/>
        <item x="252"/>
        <item x="191"/>
        <item x="291"/>
        <item x="217"/>
        <item x="233"/>
        <item x="86"/>
        <item x="175"/>
        <item x="288"/>
        <item x="238"/>
        <item x="158"/>
        <item x="36"/>
        <item x="15"/>
        <item x="275"/>
        <item x="267"/>
        <item x="186"/>
        <item x="140"/>
        <item x="332"/>
        <item x="7"/>
        <item x="97"/>
        <item x="187"/>
        <item x="32"/>
        <item x="82"/>
        <item x="45"/>
        <item x="317"/>
        <item x="227"/>
        <item x="296"/>
        <item x="75"/>
        <item x="241"/>
        <item x="143"/>
        <item x="113"/>
        <item x="283"/>
        <item x="294"/>
        <item x="148"/>
        <item x="46"/>
        <item x="19"/>
        <item x="322"/>
        <item x="39"/>
        <item x="72"/>
        <item x="164"/>
        <item x="30"/>
        <item x="218"/>
        <item x="276"/>
        <item x="161"/>
        <item x="90"/>
        <item x="120"/>
        <item x="314"/>
        <item x="197"/>
        <item x="205"/>
        <item x="293"/>
        <item x="76"/>
        <item x="166"/>
        <item x="237"/>
        <item x="74"/>
        <item x="181"/>
        <item x="170"/>
        <item x="34"/>
        <item x="327"/>
        <item x="321"/>
        <item x="23"/>
        <item x="185"/>
        <item x="242"/>
        <item x="69"/>
        <item x="224"/>
        <item x="247"/>
        <item x="31"/>
        <item x="111"/>
        <item x="279"/>
        <item x="17"/>
        <item x="93"/>
        <item x="167"/>
        <item x="47"/>
        <item x="160"/>
        <item x="118"/>
        <item x="10"/>
        <item x="64"/>
        <item x="147"/>
        <item x="213"/>
        <item x="221"/>
        <item x="55"/>
        <item x="119"/>
        <item x="173"/>
        <item x="188"/>
        <item x="2"/>
        <item x="102"/>
        <item x="150"/>
        <item x="253"/>
        <item x="33"/>
        <item x="28"/>
        <item x="107"/>
        <item x="24"/>
        <item x="225"/>
        <item x="60"/>
        <item x="308"/>
        <item x="25"/>
        <item x="236"/>
        <item x="70"/>
        <item x="244"/>
        <item x="108"/>
        <item x="37"/>
        <item x="162"/>
        <item x="139"/>
        <item x="176"/>
        <item x="98"/>
        <item x="278"/>
        <item x="109"/>
        <item x="66"/>
        <item x="315"/>
        <item x="153"/>
        <item x="174"/>
        <item x="198"/>
        <item x="274"/>
        <item x="207"/>
        <item x="42"/>
        <item x="5"/>
        <item x="154"/>
        <item x="95"/>
        <item x="209"/>
        <item x="11"/>
        <item x="246"/>
        <item x="264"/>
        <item x="180"/>
        <item x="116"/>
        <item x="71"/>
        <item x="200"/>
        <item x="282"/>
        <item x="168"/>
        <item x="339"/>
        <item x="341"/>
        <item t="default"/>
      </items>
    </pivotField>
    <pivotField showAll="0"/>
    <pivotField axis="axisRow" showAll="0" measureFilter="1" sortType="descending">
      <items count="25">
        <item x="0"/>
        <item x="1"/>
        <item x="22"/>
        <item x="17"/>
        <item x="21"/>
        <item x="6"/>
        <item x="11"/>
        <item x="12"/>
        <item x="15"/>
        <item x="7"/>
        <item x="23"/>
        <item x="13"/>
        <item x="18"/>
        <item x="2"/>
        <item x="4"/>
        <item x="19"/>
        <item x="8"/>
        <item x="20"/>
        <item x="3"/>
        <item x="14"/>
        <item x="16"/>
        <item x="5"/>
        <item x="10"/>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dataField="1" numFmtId="174" showAll="0"/>
    <pivotField showAll="0" defaultSubtotal="0"/>
    <pivotField showAll="0" defaultSubtotal="0"/>
    <pivotField showAll="0" defaultSubtotal="0">
      <items count="3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s>
    </pivotField>
  </pivotFields>
  <rowFields count="1">
    <field x="3"/>
  </rowFields>
  <rowItems count="11">
    <i>
      <x/>
    </i>
    <i>
      <x v="20"/>
    </i>
    <i>
      <x v="15"/>
    </i>
    <i>
      <x v="11"/>
    </i>
    <i>
      <x v="16"/>
    </i>
    <i>
      <x v="14"/>
    </i>
    <i>
      <x v="7"/>
    </i>
    <i>
      <x v="5"/>
    </i>
    <i>
      <x v="6"/>
    </i>
    <i>
      <x v="19"/>
    </i>
    <i t="grand">
      <x/>
    </i>
  </rowItems>
  <colFields count="1">
    <field x="-2"/>
  </colFields>
  <colItems count="2">
    <i>
      <x/>
    </i>
    <i i="1">
      <x v="1"/>
    </i>
  </colItems>
  <dataFields count="2">
    <dataField name="Sum of Revenue" fld="10" baseField="0" baseItem="0" numFmtId="174"/>
    <dataField name="Sum of Qty" fld="6" baseField="0" baseItem="0"/>
  </dataFields>
  <formats count="2">
    <format dxfId="11">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7AF4F-69B5-493D-B907-CF901B23C546}"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O44" firstHeaderRow="1" firstDataRow="2" firstDataCol="1"/>
  <pivotFields count="14">
    <pivotField showAll="0"/>
    <pivotField numFmtId="165" showAll="0">
      <items count="343">
        <item x="286"/>
        <item x="287"/>
        <item x="122"/>
        <item x="157"/>
        <item x="265"/>
        <item x="313"/>
        <item x="179"/>
        <item x="58"/>
        <item x="254"/>
        <item x="178"/>
        <item x="235"/>
        <item x="211"/>
        <item x="304"/>
        <item x="88"/>
        <item x="125"/>
        <item x="266"/>
        <item x="272"/>
        <item x="303"/>
        <item x="340"/>
        <item x="261"/>
        <item x="251"/>
        <item x="302"/>
        <item x="183"/>
        <item x="262"/>
        <item x="335"/>
        <item x="320"/>
        <item x="194"/>
        <item x="331"/>
        <item x="99"/>
        <item x="257"/>
        <item x="54"/>
        <item x="245"/>
        <item x="117"/>
        <item x="112"/>
        <item x="144"/>
        <item x="311"/>
        <item x="239"/>
        <item x="62"/>
        <item x="298"/>
        <item x="101"/>
        <item x="184"/>
        <item x="171"/>
        <item x="222"/>
        <item x="199"/>
        <item x="273"/>
        <item x="155"/>
        <item x="338"/>
        <item x="230"/>
        <item x="297"/>
        <item x="231"/>
        <item x="216"/>
        <item x="337"/>
        <item x="80"/>
        <item x="196"/>
        <item x="9"/>
        <item x="258"/>
        <item x="325"/>
        <item x="59"/>
        <item x="77"/>
        <item x="49"/>
        <item x="290"/>
        <item x="44"/>
        <item x="92"/>
        <item x="43"/>
        <item x="38"/>
        <item x="127"/>
        <item x="65"/>
        <item x="89"/>
        <item x="263"/>
        <item x="114"/>
        <item x="3"/>
        <item x="323"/>
        <item x="63"/>
        <item x="18"/>
        <item x="134"/>
        <item x="136"/>
        <item x="68"/>
        <item x="53"/>
        <item x="115"/>
        <item x="226"/>
        <item x="20"/>
        <item x="61"/>
        <item x="29"/>
        <item x="243"/>
        <item x="48"/>
        <item x="212"/>
        <item x="149"/>
        <item x="16"/>
        <item x="220"/>
        <item x="307"/>
        <item x="255"/>
        <item x="137"/>
        <item x="146"/>
        <item x="202"/>
        <item x="277"/>
        <item x="259"/>
        <item x="249"/>
        <item x="232"/>
        <item x="219"/>
        <item x="14"/>
        <item x="163"/>
        <item x="319"/>
        <item x="284"/>
        <item x="12"/>
        <item x="305"/>
        <item x="201"/>
        <item x="73"/>
        <item x="260"/>
        <item x="172"/>
        <item x="326"/>
        <item x="192"/>
        <item x="132"/>
        <item x="105"/>
        <item x="129"/>
        <item x="316"/>
        <item x="190"/>
        <item x="135"/>
        <item x="223"/>
        <item x="292"/>
        <item x="165"/>
        <item x="100"/>
        <item x="208"/>
        <item x="96"/>
        <item x="271"/>
        <item x="110"/>
        <item x="26"/>
        <item x="330"/>
        <item x="152"/>
        <item x="4"/>
        <item x="41"/>
        <item x="6"/>
        <item x="334"/>
        <item x="0"/>
        <item x="130"/>
        <item x="40"/>
        <item x="145"/>
        <item x="1"/>
        <item x="106"/>
        <item x="228"/>
        <item x="193"/>
        <item x="295"/>
        <item x="131"/>
        <item x="138"/>
        <item x="13"/>
        <item x="128"/>
        <item x="333"/>
        <item x="301"/>
        <item x="270"/>
        <item x="280"/>
        <item x="215"/>
        <item x="142"/>
        <item x="85"/>
        <item x="103"/>
        <item x="234"/>
        <item x="289"/>
        <item x="83"/>
        <item x="336"/>
        <item x="285"/>
        <item x="318"/>
        <item x="104"/>
        <item x="121"/>
        <item x="309"/>
        <item x="189"/>
        <item x="299"/>
        <item x="94"/>
        <item x="133"/>
        <item x="210"/>
        <item x="269"/>
        <item x="256"/>
        <item x="156"/>
        <item x="79"/>
        <item x="329"/>
        <item x="35"/>
        <item x="182"/>
        <item x="50"/>
        <item x="206"/>
        <item x="203"/>
        <item x="87"/>
        <item x="324"/>
        <item x="67"/>
        <item x="250"/>
        <item x="51"/>
        <item x="56"/>
        <item x="310"/>
        <item x="141"/>
        <item x="81"/>
        <item x="124"/>
        <item x="151"/>
        <item x="126"/>
        <item x="8"/>
        <item x="123"/>
        <item x="84"/>
        <item x="177"/>
        <item x="328"/>
        <item x="78"/>
        <item x="27"/>
        <item x="248"/>
        <item x="21"/>
        <item x="214"/>
        <item x="22"/>
        <item x="312"/>
        <item x="195"/>
        <item x="204"/>
        <item x="57"/>
        <item x="240"/>
        <item x="159"/>
        <item x="169"/>
        <item x="52"/>
        <item x="300"/>
        <item x="229"/>
        <item x="306"/>
        <item x="268"/>
        <item x="91"/>
        <item x="281"/>
        <item x="252"/>
        <item x="191"/>
        <item x="291"/>
        <item x="217"/>
        <item x="233"/>
        <item x="86"/>
        <item x="175"/>
        <item x="288"/>
        <item x="238"/>
        <item x="158"/>
        <item x="36"/>
        <item x="15"/>
        <item x="275"/>
        <item x="267"/>
        <item x="186"/>
        <item x="140"/>
        <item x="332"/>
        <item x="7"/>
        <item x="97"/>
        <item x="187"/>
        <item x="32"/>
        <item x="82"/>
        <item x="45"/>
        <item x="317"/>
        <item x="227"/>
        <item x="296"/>
        <item x="75"/>
        <item x="241"/>
        <item x="143"/>
        <item x="113"/>
        <item x="283"/>
        <item x="294"/>
        <item x="148"/>
        <item x="46"/>
        <item x="19"/>
        <item x="322"/>
        <item x="39"/>
        <item x="72"/>
        <item x="164"/>
        <item x="30"/>
        <item x="218"/>
        <item x="276"/>
        <item x="161"/>
        <item x="90"/>
        <item x="120"/>
        <item x="314"/>
        <item x="197"/>
        <item x="205"/>
        <item x="293"/>
        <item x="76"/>
        <item x="166"/>
        <item x="237"/>
        <item x="74"/>
        <item x="181"/>
        <item x="170"/>
        <item x="34"/>
        <item x="327"/>
        <item x="321"/>
        <item x="23"/>
        <item x="185"/>
        <item x="242"/>
        <item x="69"/>
        <item x="224"/>
        <item x="247"/>
        <item x="31"/>
        <item x="111"/>
        <item x="279"/>
        <item x="17"/>
        <item x="93"/>
        <item x="167"/>
        <item x="47"/>
        <item x="160"/>
        <item x="118"/>
        <item x="10"/>
        <item x="64"/>
        <item x="147"/>
        <item x="213"/>
        <item x="221"/>
        <item x="55"/>
        <item x="119"/>
        <item x="173"/>
        <item x="188"/>
        <item x="2"/>
        <item x="102"/>
        <item x="150"/>
        <item x="253"/>
        <item x="33"/>
        <item x="28"/>
        <item x="107"/>
        <item x="24"/>
        <item x="225"/>
        <item x="60"/>
        <item x="308"/>
        <item x="25"/>
        <item x="236"/>
        <item x="70"/>
        <item x="244"/>
        <item x="108"/>
        <item x="37"/>
        <item x="162"/>
        <item x="139"/>
        <item x="176"/>
        <item x="98"/>
        <item x="278"/>
        <item x="109"/>
        <item x="66"/>
        <item x="315"/>
        <item x="153"/>
        <item x="174"/>
        <item x="198"/>
        <item x="274"/>
        <item x="207"/>
        <item x="42"/>
        <item x="5"/>
        <item x="154"/>
        <item x="95"/>
        <item x="209"/>
        <item x="11"/>
        <item x="246"/>
        <item x="264"/>
        <item x="180"/>
        <item x="116"/>
        <item x="71"/>
        <item x="200"/>
        <item x="282"/>
        <item x="168"/>
        <item x="339"/>
        <item x="341"/>
        <item t="default"/>
      </items>
    </pivotField>
    <pivotField axis="axisRow" showAll="0">
      <items count="41">
        <item x="19"/>
        <item x="0"/>
        <item x="1"/>
        <item x="10"/>
        <item x="37"/>
        <item x="21"/>
        <item x="17"/>
        <item x="5"/>
        <item x="4"/>
        <item x="24"/>
        <item x="7"/>
        <item x="15"/>
        <item x="29"/>
        <item x="13"/>
        <item x="32"/>
        <item x="9"/>
        <item x="8"/>
        <item x="36"/>
        <item x="11"/>
        <item x="6"/>
        <item x="30"/>
        <item x="23"/>
        <item x="39"/>
        <item x="27"/>
        <item x="38"/>
        <item x="22"/>
        <item x="14"/>
        <item x="16"/>
        <item x="33"/>
        <item x="26"/>
        <item x="35"/>
        <item x="18"/>
        <item x="2"/>
        <item x="28"/>
        <item x="12"/>
        <item x="25"/>
        <item x="31"/>
        <item x="34"/>
        <item x="20"/>
        <item x="3"/>
        <item t="default"/>
      </items>
    </pivotField>
    <pivotField showAll="0"/>
    <pivotField showAll="0"/>
    <pivotField showAll="0"/>
    <pivotField dataField="1" showAll="0"/>
    <pivotField showAll="0"/>
    <pivotField showAll="0"/>
    <pivotField showAll="0"/>
    <pivotField numFmtId="174"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324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955"/>
        <item sd="0" x="956"/>
        <item sd="0" x="957"/>
        <item sd="0" x="958"/>
        <item sd="0" x="959"/>
        <item sd="0" x="960"/>
        <item sd="0" x="961"/>
        <item sd="0" x="962"/>
        <item sd="0" x="963"/>
        <item sd="0" x="964"/>
        <item sd="0" x="965"/>
        <item sd="0" x="966"/>
        <item sd="0" x="967"/>
        <item sd="0" x="968"/>
        <item sd="0" x="969"/>
        <item sd="0" x="970"/>
        <item sd="0" x="971"/>
        <item sd="0" x="972"/>
        <item sd="0" x="973"/>
        <item sd="0" x="974"/>
        <item sd="0" x="975"/>
        <item sd="0" x="976"/>
        <item sd="0" x="977"/>
        <item sd="0" x="978"/>
        <item sd="0" x="979"/>
        <item sd="0" x="980"/>
        <item sd="0" x="981"/>
        <item sd="0" x="982"/>
        <item sd="0" x="983"/>
        <item sd="0" x="984"/>
        <item sd="0" x="985"/>
        <item sd="0" x="986"/>
        <item sd="0" x="987"/>
        <item sd="0" x="988"/>
        <item sd="0" x="989"/>
        <item sd="0" x="990"/>
        <item sd="0" x="991"/>
        <item sd="0" x="992"/>
        <item sd="0" x="993"/>
        <item sd="0" x="994"/>
        <item sd="0" x="995"/>
        <item sd="0" x="996"/>
        <item sd="0" x="997"/>
        <item sd="0" x="998"/>
        <item sd="0" x="999"/>
        <item sd="0" x="1000"/>
        <item sd="0" x="1001"/>
        <item sd="0" x="1002"/>
        <item sd="0" x="1003"/>
        <item sd="0" x="1004"/>
        <item sd="0" x="1005"/>
        <item sd="0" x="1006"/>
        <item sd="0" x="1007"/>
        <item sd="0" x="1008"/>
        <item sd="0" x="1009"/>
        <item sd="0" x="1010"/>
        <item sd="0" x="1011"/>
        <item sd="0" x="1012"/>
        <item sd="0" x="1013"/>
        <item sd="0" x="1014"/>
        <item sd="0" x="1015"/>
        <item sd="0" x="1016"/>
        <item sd="0" x="1017"/>
        <item sd="0" x="1018"/>
        <item sd="0" x="1019"/>
        <item sd="0" x="1020"/>
        <item sd="0" x="1021"/>
        <item sd="0" x="1022"/>
        <item sd="0" x="1023"/>
        <item sd="0" x="1024"/>
        <item sd="0" x="1025"/>
        <item sd="0" x="1026"/>
        <item sd="0" x="1027"/>
        <item sd="0" x="1028"/>
        <item sd="0" x="1029"/>
        <item sd="0" x="1030"/>
        <item sd="0" x="1031"/>
        <item sd="0" x="1032"/>
        <item sd="0" x="1033"/>
        <item sd="0" x="1034"/>
        <item sd="0" x="1035"/>
        <item sd="0" x="1036"/>
        <item sd="0" x="1037"/>
        <item sd="0" x="1038"/>
        <item sd="0" x="1039"/>
        <item sd="0" x="1040"/>
        <item sd="0" x="1041"/>
        <item sd="0" x="1042"/>
        <item sd="0" x="1043"/>
        <item sd="0" x="1044"/>
        <item sd="0" x="1045"/>
        <item sd="0" x="1046"/>
        <item sd="0" x="1047"/>
        <item sd="0" x="1048"/>
        <item sd="0" x="1049"/>
        <item sd="0" x="1050"/>
        <item sd="0" x="1051"/>
        <item sd="0" x="1052"/>
        <item sd="0" x="1053"/>
        <item sd="0" x="1054"/>
        <item sd="0" x="1055"/>
        <item sd="0" x="1056"/>
        <item sd="0" x="1057"/>
        <item sd="0" x="1058"/>
        <item sd="0" x="1059"/>
        <item sd="0" x="1060"/>
        <item sd="0" x="1061"/>
        <item sd="0" x="1062"/>
        <item sd="0" x="1063"/>
        <item sd="0" x="1064"/>
        <item sd="0" x="1065"/>
        <item sd="0" x="1066"/>
        <item sd="0" x="1067"/>
        <item sd="0" x="1068"/>
        <item sd="0" x="1069"/>
        <item sd="0" x="1070"/>
        <item sd="0" x="1071"/>
        <item sd="0" x="1072"/>
        <item sd="0" x="1073"/>
        <item sd="0" x="1074"/>
        <item sd="0" x="1075"/>
        <item sd="0" x="1076"/>
        <item sd="0" x="1077"/>
        <item sd="0" x="1078"/>
        <item sd="0" x="1079"/>
        <item sd="0" x="1080"/>
        <item sd="0" x="1081"/>
        <item sd="0" x="1082"/>
        <item sd="0" x="1083"/>
        <item sd="0" x="1084"/>
        <item sd="0" x="1085"/>
        <item sd="0" x="1086"/>
        <item sd="0" x="1087"/>
        <item sd="0" x="1088"/>
        <item sd="0" x="1089"/>
        <item sd="0" x="1090"/>
        <item sd="0" x="1091"/>
        <item sd="0" x="1092"/>
        <item sd="0" x="1093"/>
        <item sd="0" x="1094"/>
        <item sd="0" x="1095"/>
        <item sd="0" x="1096"/>
        <item sd="0" x="1097"/>
        <item sd="0" x="1098"/>
        <item sd="0" x="1099"/>
        <item sd="0" x="1100"/>
        <item sd="0" x="1101"/>
        <item sd="0" x="1102"/>
        <item sd="0" x="1103"/>
        <item sd="0" x="1104"/>
        <item sd="0" x="1105"/>
        <item sd="0" x="1106"/>
        <item sd="0" x="1107"/>
        <item sd="0" x="1108"/>
        <item sd="0" x="1109"/>
        <item sd="0" x="1110"/>
        <item sd="0" x="1111"/>
        <item sd="0" x="1112"/>
        <item sd="0" x="1113"/>
        <item sd="0" x="1114"/>
        <item sd="0" x="1115"/>
        <item sd="0" x="1116"/>
        <item sd="0" x="1117"/>
        <item sd="0" x="1118"/>
        <item sd="0" x="1119"/>
        <item sd="0" x="1120"/>
        <item sd="0" x="1121"/>
        <item sd="0" x="1122"/>
        <item sd="0" x="1123"/>
        <item sd="0" x="1124"/>
        <item sd="0" x="1125"/>
        <item sd="0" x="1126"/>
        <item sd="0" x="1127"/>
        <item sd="0" x="1128"/>
        <item sd="0" x="1129"/>
        <item sd="0" x="1130"/>
        <item sd="0" x="1131"/>
        <item sd="0" x="1132"/>
        <item sd="0" x="1133"/>
        <item sd="0" x="1134"/>
        <item sd="0" x="1135"/>
        <item sd="0" x="1136"/>
        <item sd="0" x="1137"/>
        <item sd="0" x="1138"/>
        <item sd="0" x="1139"/>
        <item sd="0" x="1140"/>
        <item sd="0" x="1141"/>
        <item sd="0" x="1142"/>
        <item sd="0" x="1143"/>
        <item sd="0" x="1144"/>
        <item sd="0" x="1145"/>
        <item sd="0" x="1146"/>
        <item sd="0" x="1147"/>
        <item sd="0" x="1148"/>
        <item sd="0" x="1149"/>
        <item sd="0" x="1150"/>
        <item sd="0" x="1151"/>
        <item sd="0" x="1152"/>
        <item sd="0" x="1153"/>
        <item sd="0" x="1154"/>
        <item sd="0" x="1155"/>
        <item sd="0" x="1156"/>
        <item sd="0" x="1157"/>
        <item sd="0" x="1158"/>
        <item sd="0" x="1159"/>
        <item sd="0" x="1160"/>
        <item sd="0" x="1161"/>
        <item sd="0" x="1162"/>
        <item sd="0" x="1163"/>
        <item sd="0" x="1164"/>
        <item sd="0" x="1165"/>
        <item sd="0" x="1166"/>
        <item sd="0" x="1167"/>
        <item sd="0" x="1168"/>
        <item sd="0" x="1169"/>
        <item sd="0" x="1170"/>
        <item sd="0" x="1171"/>
        <item sd="0" x="1172"/>
        <item sd="0" x="1173"/>
        <item sd="0" x="1174"/>
        <item sd="0" x="1175"/>
        <item sd="0" x="1176"/>
        <item sd="0" x="1177"/>
        <item sd="0" x="1178"/>
        <item sd="0" x="1179"/>
        <item sd="0" x="1180"/>
        <item sd="0" x="1181"/>
        <item sd="0" x="1182"/>
        <item sd="0" x="1183"/>
        <item sd="0" x="1184"/>
        <item sd="0" x="1185"/>
        <item sd="0" x="1186"/>
        <item sd="0" x="1187"/>
        <item sd="0" x="1188"/>
        <item sd="0" x="1189"/>
        <item sd="0" x="1190"/>
        <item sd="0" x="1191"/>
        <item sd="0" x="1192"/>
        <item sd="0" x="1193"/>
        <item sd="0" x="1194"/>
        <item sd="0" x="1195"/>
        <item sd="0" x="1196"/>
        <item sd="0" x="1197"/>
        <item sd="0" x="1198"/>
        <item sd="0" x="1199"/>
        <item sd="0" x="1200"/>
        <item sd="0" x="1201"/>
        <item sd="0" x="1202"/>
        <item sd="0" x="1203"/>
        <item sd="0" x="1204"/>
        <item sd="0" x="1205"/>
        <item sd="0" x="1206"/>
        <item sd="0" x="1207"/>
        <item sd="0" x="1208"/>
        <item sd="0" x="1209"/>
        <item sd="0" x="1210"/>
        <item sd="0" x="1211"/>
        <item sd="0" x="1212"/>
        <item sd="0" x="1213"/>
        <item sd="0" x="1214"/>
        <item sd="0" x="1215"/>
        <item sd="0" x="1216"/>
        <item sd="0" x="1217"/>
        <item sd="0" x="1218"/>
        <item sd="0" x="1219"/>
        <item sd="0" x="1220"/>
        <item sd="0" x="1221"/>
        <item sd="0" x="1222"/>
        <item sd="0" x="1223"/>
        <item sd="0" x="1224"/>
        <item sd="0" x="1225"/>
        <item sd="0" x="1226"/>
        <item sd="0" x="1227"/>
        <item sd="0" x="1228"/>
        <item sd="0" x="1229"/>
        <item sd="0" x="1230"/>
        <item sd="0" x="1231"/>
        <item sd="0" x="1232"/>
        <item sd="0" x="1233"/>
        <item sd="0" x="1234"/>
        <item sd="0" x="1235"/>
        <item sd="0" x="1236"/>
        <item sd="0" x="1237"/>
        <item sd="0" x="1238"/>
        <item sd="0" x="1239"/>
        <item sd="0" x="1240"/>
        <item sd="0" x="1241"/>
        <item sd="0" x="1242"/>
        <item sd="0" x="1243"/>
        <item sd="0" x="1244"/>
        <item sd="0" x="1245"/>
        <item sd="0" x="1246"/>
        <item sd="0" x="1247"/>
        <item sd="0" x="1248"/>
        <item sd="0" x="1249"/>
        <item sd="0" x="1250"/>
        <item sd="0" x="1251"/>
        <item sd="0" x="1252"/>
        <item sd="0" x="1253"/>
        <item sd="0" x="1254"/>
        <item sd="0" x="1255"/>
        <item sd="0" x="1256"/>
        <item sd="0" x="1257"/>
        <item sd="0" x="1258"/>
        <item sd="0" x="1259"/>
        <item sd="0" x="1260"/>
        <item sd="0" x="1261"/>
        <item sd="0" x="1262"/>
        <item sd="0" x="1263"/>
        <item sd="0" x="1264"/>
        <item sd="0" x="1265"/>
        <item sd="0" x="1266"/>
        <item sd="0" x="1267"/>
        <item sd="0" x="1268"/>
        <item sd="0" x="1269"/>
        <item sd="0" x="1270"/>
        <item sd="0" x="1271"/>
        <item sd="0" x="1272"/>
        <item sd="0" x="1273"/>
        <item sd="0" x="1274"/>
        <item sd="0" x="1275"/>
        <item sd="0" x="1276"/>
        <item sd="0" x="1277"/>
        <item sd="0" x="1278"/>
        <item sd="0" x="1279"/>
        <item sd="0" x="1280"/>
        <item sd="0" x="1281"/>
        <item sd="0" x="1282"/>
        <item sd="0" x="1283"/>
        <item sd="0" x="1284"/>
        <item sd="0" x="1285"/>
        <item sd="0" x="1286"/>
        <item sd="0" x="1287"/>
        <item sd="0" x="1288"/>
        <item sd="0" x="1289"/>
        <item sd="0" x="1290"/>
        <item sd="0" x="1291"/>
        <item sd="0" x="1292"/>
        <item sd="0" x="1293"/>
        <item sd="0" x="1294"/>
        <item sd="0" x="1295"/>
        <item sd="0" x="1296"/>
        <item sd="0" x="1297"/>
        <item sd="0" x="1298"/>
        <item sd="0" x="1299"/>
        <item sd="0" x="1300"/>
        <item sd="0" x="1301"/>
        <item sd="0" x="1302"/>
        <item sd="0" x="1303"/>
        <item sd="0" x="1304"/>
        <item sd="0" x="1305"/>
        <item sd="0" x="1306"/>
        <item sd="0" x="1307"/>
        <item sd="0" x="1308"/>
        <item sd="0" x="1309"/>
        <item sd="0" x="1310"/>
        <item sd="0" x="1311"/>
        <item sd="0" x="1312"/>
        <item sd="0" x="1313"/>
        <item sd="0" x="1314"/>
        <item sd="0" x="1315"/>
        <item sd="0" x="1316"/>
        <item sd="0" x="1317"/>
        <item sd="0" x="1318"/>
        <item sd="0" x="1319"/>
        <item sd="0" x="1320"/>
        <item sd="0" x="1321"/>
        <item sd="0" x="1322"/>
        <item sd="0" x="1323"/>
        <item sd="0" x="1324"/>
        <item sd="0" x="1325"/>
        <item sd="0" x="1326"/>
        <item sd="0" x="1327"/>
        <item sd="0" x="1328"/>
        <item sd="0" x="1329"/>
        <item sd="0" x="1330"/>
        <item sd="0" x="1331"/>
        <item sd="0" x="1332"/>
        <item sd="0" x="1333"/>
        <item sd="0" x="1334"/>
        <item sd="0" x="1335"/>
        <item sd="0" x="1336"/>
        <item sd="0" x="1337"/>
        <item sd="0" x="1338"/>
        <item sd="0" x="1339"/>
        <item sd="0" x="1340"/>
        <item sd="0" x="1341"/>
        <item sd="0" x="1342"/>
        <item sd="0" x="1343"/>
        <item sd="0" x="1344"/>
        <item sd="0" x="1345"/>
        <item sd="0" x="1346"/>
        <item sd="0" x="1347"/>
        <item sd="0" x="1348"/>
        <item sd="0" x="1349"/>
        <item sd="0" x="1350"/>
        <item sd="0" x="1351"/>
        <item sd="0" x="1352"/>
        <item sd="0" x="1353"/>
        <item sd="0" x="1354"/>
        <item sd="0" x="1355"/>
        <item sd="0" x="1356"/>
        <item sd="0" x="1357"/>
        <item sd="0" x="1358"/>
        <item sd="0" x="1359"/>
        <item sd="0" x="1360"/>
        <item sd="0" x="1361"/>
        <item sd="0" x="1362"/>
        <item sd="0" x="1363"/>
        <item sd="0" x="1364"/>
        <item sd="0" x="1365"/>
        <item sd="0" x="1366"/>
        <item sd="0" x="1367"/>
        <item sd="0" x="1368"/>
        <item sd="0" x="1369"/>
        <item sd="0" x="1370"/>
        <item sd="0" x="1371"/>
        <item sd="0" x="1372"/>
        <item sd="0" x="1373"/>
        <item sd="0" x="1374"/>
        <item sd="0" x="1375"/>
        <item sd="0" x="1376"/>
        <item sd="0" x="1377"/>
        <item sd="0" x="1378"/>
        <item sd="0" x="1379"/>
        <item sd="0" x="1380"/>
        <item sd="0" x="1381"/>
        <item sd="0" x="1382"/>
        <item sd="0" x="1383"/>
        <item sd="0" x="1384"/>
        <item sd="0" x="1385"/>
        <item sd="0" x="1386"/>
        <item sd="0" x="1387"/>
        <item sd="0" x="1388"/>
        <item sd="0" x="1389"/>
        <item sd="0" x="1390"/>
        <item sd="0" x="1391"/>
        <item sd="0" x="1392"/>
        <item sd="0" x="1393"/>
        <item sd="0" x="1394"/>
        <item sd="0" x="1395"/>
        <item sd="0" x="1396"/>
        <item sd="0" x="1397"/>
        <item sd="0" x="1398"/>
        <item sd="0" x="1399"/>
        <item sd="0" x="1400"/>
        <item sd="0" x="1401"/>
        <item sd="0" x="1402"/>
        <item sd="0" x="1403"/>
        <item sd="0" x="1404"/>
        <item sd="0" x="1405"/>
        <item sd="0" x="1406"/>
        <item sd="0" x="1407"/>
        <item sd="0" x="1408"/>
        <item sd="0" x="1409"/>
        <item sd="0" x="1410"/>
        <item sd="0" x="1411"/>
        <item sd="0" x="1412"/>
        <item sd="0" x="1413"/>
        <item sd="0" x="1414"/>
        <item sd="0" x="1415"/>
        <item sd="0" x="1416"/>
        <item sd="0" x="1417"/>
        <item sd="0" x="1418"/>
        <item sd="0" x="1419"/>
        <item sd="0" x="1420"/>
        <item sd="0" x="1421"/>
        <item sd="0" x="1422"/>
        <item sd="0" x="1423"/>
        <item sd="0" x="1424"/>
        <item sd="0" x="1425"/>
        <item sd="0" x="1426"/>
        <item sd="0" x="1427"/>
        <item sd="0" x="1428"/>
        <item sd="0" x="1429"/>
        <item sd="0" x="1430"/>
        <item sd="0" x="1431"/>
        <item sd="0" x="1432"/>
        <item sd="0" x="1433"/>
        <item sd="0" x="1434"/>
        <item sd="0" x="1435"/>
        <item sd="0" x="1436"/>
        <item sd="0" x="1437"/>
        <item sd="0" x="1438"/>
        <item sd="0" x="1439"/>
        <item sd="0" x="1440"/>
        <item sd="0" x="1441"/>
        <item sd="0" x="1442"/>
        <item sd="0" x="1443"/>
        <item sd="0" x="1444"/>
        <item sd="0" x="1445"/>
        <item sd="0" x="1446"/>
        <item sd="0" x="1447"/>
        <item sd="0" x="1448"/>
        <item sd="0" x="1449"/>
        <item sd="0" x="1450"/>
        <item sd="0" x="1451"/>
        <item sd="0" x="1452"/>
        <item sd="0" x="1453"/>
        <item sd="0" x="1454"/>
        <item sd="0" x="1455"/>
        <item sd="0" x="1456"/>
        <item sd="0" x="1457"/>
        <item sd="0" x="1458"/>
        <item sd="0" x="1459"/>
        <item sd="0" x="1460"/>
        <item sd="0" x="1461"/>
        <item sd="0" x="1462"/>
        <item sd="0" x="1463"/>
        <item sd="0" x="1464"/>
        <item sd="0" x="1465"/>
        <item sd="0" x="1466"/>
        <item sd="0" x="1467"/>
        <item sd="0" x="1468"/>
        <item sd="0" x="1469"/>
        <item sd="0" x="1470"/>
        <item sd="0" x="1471"/>
        <item sd="0" x="1472"/>
        <item sd="0" x="1473"/>
        <item sd="0" x="1474"/>
        <item sd="0" x="1475"/>
        <item sd="0" x="1476"/>
        <item sd="0" x="1477"/>
        <item sd="0" x="1478"/>
        <item sd="0" x="1479"/>
        <item sd="0" x="1480"/>
        <item sd="0" x="1481"/>
        <item sd="0" x="1482"/>
        <item sd="0" x="1483"/>
        <item sd="0" x="1484"/>
        <item sd="0" x="1485"/>
        <item sd="0" x="1486"/>
        <item sd="0" x="1487"/>
        <item sd="0" x="1488"/>
        <item sd="0" x="1489"/>
        <item sd="0" x="1490"/>
        <item sd="0" x="1491"/>
        <item sd="0" x="1492"/>
        <item sd="0" x="1493"/>
        <item sd="0" x="1494"/>
        <item sd="0" x="1495"/>
        <item sd="0" x="1496"/>
        <item sd="0" x="1497"/>
        <item sd="0" x="1498"/>
        <item sd="0" x="1499"/>
        <item sd="0" x="1500"/>
        <item sd="0" x="1501"/>
        <item sd="0" x="1502"/>
        <item sd="0" x="1503"/>
        <item sd="0" x="1504"/>
        <item sd="0" x="1505"/>
        <item sd="0" x="1506"/>
        <item sd="0" x="1507"/>
        <item sd="0" x="1508"/>
        <item sd="0" x="1509"/>
        <item sd="0" x="1510"/>
        <item sd="0" x="1511"/>
        <item sd="0" x="1512"/>
        <item sd="0" x="1513"/>
        <item sd="0" x="1514"/>
        <item sd="0" x="1515"/>
        <item sd="0" x="1516"/>
        <item sd="0" x="1517"/>
        <item sd="0" x="1518"/>
        <item sd="0" x="1519"/>
        <item sd="0" x="1520"/>
        <item sd="0" x="1521"/>
        <item sd="0" x="1522"/>
        <item sd="0" x="1523"/>
        <item sd="0" x="1524"/>
        <item sd="0" x="1525"/>
        <item sd="0" x="1526"/>
        <item sd="0" x="1527"/>
        <item sd="0" x="1528"/>
        <item sd="0" x="1529"/>
        <item sd="0" x="1530"/>
        <item sd="0" x="1531"/>
        <item sd="0" x="1532"/>
        <item sd="0" x="1533"/>
        <item sd="0" x="1534"/>
        <item sd="0" x="1535"/>
        <item sd="0" x="1536"/>
        <item sd="0" x="1537"/>
        <item sd="0" x="1538"/>
        <item sd="0" x="1539"/>
        <item sd="0" x="1540"/>
        <item sd="0" x="1541"/>
        <item sd="0" x="1542"/>
        <item sd="0" x="1543"/>
        <item sd="0" x="1544"/>
        <item sd="0" x="1545"/>
        <item sd="0" x="1546"/>
        <item sd="0" x="1547"/>
        <item sd="0" x="1548"/>
        <item sd="0" x="1549"/>
        <item sd="0" x="1550"/>
        <item sd="0" x="1551"/>
        <item sd="0" x="1552"/>
        <item sd="0" x="1553"/>
        <item sd="0" x="1554"/>
        <item sd="0" x="1555"/>
        <item sd="0" x="1556"/>
        <item sd="0" x="1557"/>
        <item sd="0" x="1558"/>
        <item sd="0" x="1559"/>
        <item sd="0" x="1560"/>
        <item sd="0" x="1561"/>
        <item sd="0" x="1562"/>
        <item sd="0" x="1563"/>
        <item sd="0" x="1564"/>
        <item sd="0" x="1565"/>
        <item sd="0" x="1566"/>
        <item sd="0" x="1567"/>
        <item sd="0" x="1568"/>
        <item sd="0" x="1569"/>
        <item sd="0" x="1570"/>
        <item sd="0" x="1571"/>
        <item sd="0" x="1572"/>
        <item sd="0" x="1573"/>
        <item sd="0" x="1574"/>
        <item sd="0" x="1575"/>
        <item sd="0" x="1576"/>
        <item sd="0" x="1577"/>
        <item sd="0" x="1578"/>
        <item sd="0" x="1579"/>
        <item sd="0" x="1580"/>
        <item sd="0" x="1581"/>
        <item sd="0" x="1582"/>
        <item sd="0" x="1583"/>
        <item sd="0" x="1584"/>
        <item sd="0" x="1585"/>
        <item sd="0" x="1586"/>
        <item sd="0" x="1587"/>
        <item sd="0" x="1588"/>
        <item sd="0" x="1589"/>
        <item sd="0" x="1590"/>
        <item sd="0" x="1591"/>
        <item sd="0" x="1592"/>
        <item sd="0" x="1593"/>
        <item sd="0" x="1594"/>
        <item sd="0" x="1595"/>
        <item sd="0" x="1596"/>
        <item sd="0" x="1597"/>
        <item sd="0" x="1598"/>
        <item sd="0" x="1599"/>
        <item sd="0" x="1600"/>
        <item sd="0" x="1601"/>
        <item sd="0" x="1602"/>
        <item sd="0" x="1603"/>
        <item sd="0" x="1604"/>
        <item sd="0" x="1605"/>
        <item sd="0" x="1606"/>
        <item sd="0" x="1607"/>
        <item sd="0" x="1608"/>
        <item sd="0" x="1609"/>
        <item sd="0" x="1610"/>
        <item sd="0" x="1611"/>
        <item sd="0" x="1612"/>
        <item sd="0" x="1613"/>
        <item sd="0" x="1614"/>
        <item sd="0" x="1615"/>
        <item sd="0" x="1616"/>
        <item sd="0" x="1617"/>
        <item sd="0" x="1618"/>
        <item sd="0" x="1619"/>
        <item sd="0" x="1620"/>
        <item sd="0" x="1621"/>
        <item sd="0" x="1622"/>
        <item sd="0" x="1623"/>
        <item sd="0" x="1624"/>
        <item sd="0" x="1625"/>
        <item sd="0" x="1626"/>
        <item sd="0" x="1627"/>
        <item sd="0" x="1628"/>
        <item sd="0" x="1629"/>
        <item sd="0" x="1630"/>
        <item sd="0" x="1631"/>
        <item sd="0" x="1632"/>
        <item sd="0" x="1633"/>
        <item sd="0" x="1634"/>
        <item sd="0" x="1635"/>
        <item sd="0" x="1636"/>
        <item sd="0" x="1637"/>
        <item sd="0" x="1638"/>
        <item sd="0" x="1639"/>
        <item sd="0" x="1640"/>
        <item sd="0" x="1641"/>
        <item sd="0" x="1642"/>
        <item sd="0" x="1643"/>
        <item sd="0" x="1644"/>
        <item sd="0" x="1645"/>
        <item sd="0" x="1646"/>
        <item sd="0" x="1647"/>
        <item sd="0" x="1648"/>
        <item sd="0" x="1649"/>
        <item sd="0" x="1650"/>
        <item sd="0" x="1651"/>
        <item sd="0" x="1652"/>
        <item sd="0" x="1653"/>
        <item sd="0" x="1654"/>
        <item sd="0" x="1655"/>
        <item sd="0" x="1656"/>
        <item sd="0" x="1657"/>
        <item sd="0" x="1658"/>
        <item sd="0" x="1659"/>
        <item sd="0" x="1660"/>
        <item sd="0" x="1661"/>
        <item sd="0" x="1662"/>
        <item sd="0" x="1663"/>
        <item sd="0" x="1664"/>
        <item sd="0" x="1665"/>
        <item sd="0" x="1666"/>
        <item sd="0" x="1667"/>
        <item sd="0" x="1668"/>
        <item sd="0" x="1669"/>
        <item sd="0" x="1670"/>
        <item sd="0" x="1671"/>
        <item sd="0" x="1672"/>
        <item sd="0" x="1673"/>
        <item sd="0" x="1674"/>
        <item sd="0" x="1675"/>
        <item sd="0" x="1676"/>
        <item sd="0" x="1677"/>
        <item sd="0" x="1678"/>
        <item sd="0" x="1679"/>
        <item sd="0" x="1680"/>
        <item sd="0" x="1681"/>
        <item sd="0" x="1682"/>
        <item sd="0" x="1683"/>
        <item sd="0" x="1684"/>
        <item sd="0" x="1685"/>
        <item sd="0" x="1686"/>
        <item sd="0" x="1687"/>
        <item sd="0" x="1688"/>
        <item sd="0" x="1689"/>
        <item sd="0" x="1690"/>
        <item sd="0" x="1691"/>
        <item sd="0" x="1692"/>
        <item sd="0" x="1693"/>
        <item sd="0" x="1694"/>
        <item sd="0" x="1695"/>
        <item sd="0" x="1696"/>
        <item sd="0" x="1697"/>
        <item sd="0" x="1698"/>
        <item sd="0" x="1699"/>
        <item sd="0" x="1700"/>
        <item sd="0" x="1701"/>
        <item sd="0" x="1702"/>
        <item sd="0" x="1703"/>
        <item sd="0" x="1704"/>
        <item sd="0" x="1705"/>
        <item sd="0" x="1706"/>
        <item sd="0" x="1707"/>
        <item sd="0" x="1708"/>
        <item sd="0" x="1709"/>
        <item sd="0" x="1710"/>
        <item sd="0" x="1711"/>
        <item sd="0" x="1712"/>
        <item sd="0" x="1713"/>
        <item sd="0" x="1714"/>
        <item sd="0" x="1715"/>
        <item sd="0" x="1716"/>
        <item sd="0" x="1717"/>
        <item sd="0" x="1718"/>
        <item sd="0" x="1719"/>
        <item sd="0" x="1720"/>
        <item sd="0" x="1721"/>
        <item sd="0" x="1722"/>
        <item sd="0" x="1723"/>
        <item sd="0" x="1724"/>
        <item sd="0" x="1725"/>
        <item sd="0" x="1726"/>
        <item sd="0" x="1727"/>
        <item sd="0" x="1728"/>
        <item sd="0" x="1729"/>
        <item sd="0" x="1730"/>
        <item sd="0" x="1731"/>
        <item sd="0" x="1732"/>
        <item sd="0" x="1733"/>
        <item sd="0" x="1734"/>
        <item sd="0" x="1735"/>
        <item sd="0" x="1736"/>
        <item sd="0" x="1737"/>
        <item sd="0" x="1738"/>
        <item sd="0" x="1739"/>
        <item sd="0" x="1740"/>
        <item sd="0" x="1741"/>
        <item sd="0" x="1742"/>
        <item sd="0" x="1743"/>
        <item sd="0" x="1744"/>
        <item sd="0" x="1745"/>
        <item sd="0" x="1746"/>
        <item sd="0" x="1747"/>
        <item sd="0" x="1748"/>
        <item sd="0" x="1749"/>
        <item sd="0" x="1750"/>
        <item sd="0" x="1751"/>
        <item sd="0" x="1752"/>
        <item sd="0" x="1753"/>
        <item sd="0" x="1754"/>
        <item sd="0" x="1755"/>
        <item sd="0" x="1756"/>
        <item sd="0" x="1757"/>
        <item sd="0" x="1758"/>
        <item sd="0" x="1759"/>
        <item sd="0" x="1760"/>
        <item sd="0" x="1761"/>
        <item sd="0" x="1762"/>
        <item sd="0" x="1763"/>
        <item sd="0" x="1764"/>
        <item sd="0" x="1765"/>
        <item sd="0" x="1766"/>
        <item sd="0" x="1767"/>
        <item sd="0" x="1768"/>
        <item sd="0" x="1769"/>
        <item sd="0" x="1770"/>
        <item sd="0" x="1771"/>
        <item sd="0" x="1772"/>
        <item sd="0" x="1773"/>
        <item sd="0" x="1774"/>
        <item sd="0" x="1775"/>
        <item sd="0" x="1776"/>
        <item sd="0" x="1777"/>
        <item sd="0" x="1778"/>
        <item sd="0" x="1779"/>
        <item sd="0" x="1780"/>
        <item sd="0" x="1781"/>
        <item sd="0" x="1782"/>
        <item sd="0" x="1783"/>
        <item sd="0" x="1784"/>
        <item sd="0" x="1785"/>
        <item sd="0" x="1786"/>
        <item sd="0" x="1787"/>
        <item sd="0" x="1788"/>
        <item sd="0" x="1789"/>
        <item sd="0" x="1790"/>
        <item sd="0" x="1791"/>
        <item sd="0" x="1792"/>
        <item sd="0" x="1793"/>
        <item sd="0" x="1794"/>
        <item sd="0" x="1795"/>
        <item sd="0" x="1796"/>
        <item sd="0" x="1797"/>
        <item sd="0" x="1798"/>
        <item sd="0" x="1799"/>
        <item sd="0" x="1800"/>
        <item sd="0" x="1801"/>
        <item sd="0" x="1802"/>
        <item sd="0" x="1803"/>
        <item sd="0" x="1804"/>
        <item sd="0" x="1805"/>
        <item sd="0" x="1806"/>
        <item sd="0" x="1807"/>
        <item sd="0" x="1808"/>
        <item sd="0" x="1809"/>
        <item sd="0" x="1810"/>
        <item sd="0" x="1811"/>
        <item sd="0" x="1812"/>
        <item sd="0" x="1813"/>
        <item sd="0" x="1814"/>
        <item sd="0" x="1815"/>
        <item sd="0" x="1816"/>
        <item sd="0" x="1817"/>
        <item sd="0" x="1818"/>
        <item sd="0" x="1819"/>
        <item sd="0" x="1820"/>
        <item sd="0" x="1821"/>
        <item sd="0" x="1822"/>
        <item sd="0" x="1823"/>
        <item sd="0" x="1824"/>
        <item sd="0" x="1825"/>
        <item sd="0" x="1826"/>
        <item sd="0" x="1827"/>
        <item sd="0" x="1828"/>
        <item sd="0" x="1829"/>
        <item sd="0" x="1830"/>
        <item sd="0" x="1831"/>
        <item sd="0" x="1832"/>
        <item sd="0" x="1833"/>
        <item sd="0" x="1834"/>
        <item sd="0" x="1835"/>
        <item sd="0" x="1836"/>
        <item sd="0" x="1837"/>
        <item sd="0" x="1838"/>
        <item sd="0" x="1839"/>
        <item sd="0" x="1840"/>
        <item sd="0" x="1841"/>
        <item sd="0" x="1842"/>
        <item sd="0" x="1843"/>
        <item sd="0" x="1844"/>
        <item sd="0" x="1845"/>
        <item sd="0" x="1846"/>
        <item sd="0" x="1847"/>
        <item sd="0" x="1848"/>
        <item sd="0" x="1849"/>
        <item sd="0" x="1850"/>
        <item sd="0" x="1851"/>
        <item sd="0" x="1852"/>
        <item sd="0" x="1853"/>
        <item sd="0" x="1854"/>
        <item sd="0" x="1855"/>
        <item sd="0" x="1856"/>
        <item sd="0" x="1857"/>
        <item sd="0" x="1858"/>
        <item sd="0" x="1859"/>
        <item sd="0" x="1860"/>
        <item sd="0" x="1861"/>
        <item sd="0" x="1862"/>
        <item sd="0" x="1863"/>
        <item sd="0" x="1864"/>
        <item sd="0" x="1865"/>
        <item sd="0" x="1866"/>
        <item sd="0" x="1867"/>
        <item sd="0" x="1868"/>
        <item sd="0" x="1869"/>
        <item sd="0" x="1870"/>
        <item sd="0" x="1871"/>
        <item sd="0" x="1872"/>
        <item sd="0" x="1873"/>
        <item sd="0" x="1874"/>
        <item sd="0" x="1875"/>
        <item sd="0" x="1876"/>
        <item sd="0" x="1877"/>
        <item sd="0" x="1878"/>
        <item sd="0" x="1879"/>
        <item sd="0" x="1880"/>
        <item sd="0" x="1881"/>
        <item sd="0" x="1882"/>
        <item sd="0" x="1883"/>
        <item sd="0" x="1884"/>
        <item sd="0" x="1885"/>
        <item sd="0" x="1886"/>
        <item sd="0" x="1887"/>
        <item sd="0" x="1888"/>
        <item sd="0" x="1889"/>
        <item sd="0" x="1890"/>
        <item sd="0" x="1891"/>
        <item sd="0" x="1892"/>
        <item sd="0" x="1893"/>
        <item sd="0" x="1894"/>
        <item sd="0" x="1895"/>
        <item sd="0" x="1896"/>
        <item sd="0" x="1897"/>
        <item sd="0" x="1898"/>
        <item sd="0" x="1899"/>
        <item sd="0" x="1900"/>
        <item sd="0" x="1901"/>
        <item sd="0" x="1902"/>
        <item sd="0" x="1903"/>
        <item sd="0" x="1904"/>
        <item sd="0" x="1905"/>
        <item sd="0" x="1906"/>
        <item sd="0" x="1907"/>
        <item sd="0" x="1908"/>
        <item sd="0" x="1909"/>
        <item sd="0" x="1910"/>
        <item sd="0" x="1911"/>
        <item sd="0" x="1912"/>
        <item sd="0" x="1913"/>
        <item sd="0" x="1914"/>
        <item sd="0" x="1915"/>
        <item sd="0" x="1916"/>
        <item sd="0" x="1917"/>
        <item sd="0" x="1918"/>
        <item sd="0" x="1919"/>
        <item sd="0" x="1920"/>
        <item sd="0" x="1921"/>
        <item sd="0" x="1922"/>
        <item sd="0" x="1923"/>
        <item sd="0" x="1924"/>
        <item sd="0" x="1925"/>
        <item sd="0" x="1926"/>
        <item sd="0" x="1927"/>
        <item sd="0" x="1928"/>
        <item sd="0" x="1929"/>
        <item sd="0" x="1930"/>
        <item sd="0" x="1931"/>
        <item sd="0" x="1932"/>
        <item sd="0" x="1933"/>
        <item sd="0" x="1934"/>
        <item sd="0" x="1935"/>
        <item sd="0" x="1936"/>
        <item sd="0" x="1937"/>
        <item sd="0" x="1938"/>
        <item sd="0" x="1939"/>
        <item sd="0" x="1940"/>
        <item sd="0" x="1941"/>
        <item sd="0" x="1942"/>
        <item sd="0" x="1943"/>
        <item sd="0" x="1944"/>
        <item sd="0" x="1945"/>
        <item sd="0" x="1946"/>
        <item sd="0" x="1947"/>
        <item sd="0" x="1948"/>
        <item sd="0" x="1949"/>
        <item sd="0" x="1950"/>
        <item sd="0" x="1951"/>
        <item sd="0" x="1952"/>
        <item sd="0" x="1953"/>
        <item sd="0" x="1954"/>
        <item sd="0" x="1955"/>
        <item sd="0" x="1956"/>
        <item sd="0" x="1957"/>
        <item sd="0" x="1958"/>
        <item sd="0" x="1959"/>
        <item sd="0" x="1960"/>
        <item sd="0" x="1961"/>
        <item sd="0" x="1962"/>
        <item sd="0" x="1963"/>
        <item sd="0" x="1964"/>
        <item sd="0" x="1965"/>
        <item sd="0" x="1966"/>
        <item sd="0" x="1967"/>
        <item sd="0" x="1968"/>
        <item sd="0" x="1969"/>
        <item sd="0" x="1970"/>
        <item sd="0" x="1971"/>
        <item sd="0" x="1972"/>
        <item sd="0" x="1973"/>
        <item sd="0" x="1974"/>
        <item sd="0" x="1975"/>
        <item sd="0" x="1976"/>
        <item sd="0" x="1977"/>
        <item sd="0" x="1978"/>
        <item sd="0" x="1979"/>
        <item sd="0" x="1980"/>
        <item sd="0" x="1981"/>
        <item sd="0" x="1982"/>
        <item sd="0" x="1983"/>
        <item sd="0" x="1984"/>
        <item sd="0" x="1985"/>
        <item sd="0" x="1986"/>
        <item sd="0" x="1987"/>
        <item sd="0" x="1988"/>
        <item sd="0" x="1989"/>
        <item sd="0" x="1990"/>
        <item sd="0" x="1991"/>
        <item sd="0" x="1992"/>
        <item sd="0" x="1993"/>
        <item sd="0" x="1994"/>
        <item sd="0" x="1995"/>
        <item sd="0" x="1996"/>
        <item sd="0" x="1997"/>
        <item sd="0" x="1998"/>
        <item sd="0" x="1999"/>
        <item sd="0" x="2000"/>
        <item sd="0" x="2001"/>
        <item sd="0" x="2002"/>
        <item sd="0" x="2003"/>
        <item sd="0" x="2004"/>
        <item sd="0" x="2005"/>
        <item sd="0" x="2006"/>
        <item sd="0" x="2007"/>
        <item sd="0" x="2008"/>
        <item sd="0" x="2009"/>
        <item sd="0" x="2010"/>
        <item sd="0" x="2011"/>
        <item sd="0" x="2012"/>
        <item sd="0" x="2013"/>
        <item sd="0" x="2014"/>
        <item sd="0" x="2015"/>
        <item sd="0" x="2016"/>
        <item sd="0" x="2017"/>
        <item sd="0" x="2018"/>
        <item sd="0" x="2019"/>
        <item sd="0" x="2020"/>
        <item sd="0" x="2021"/>
        <item sd="0" x="2022"/>
        <item sd="0" x="2023"/>
        <item sd="0" x="2024"/>
        <item sd="0" x="2025"/>
        <item sd="0" x="2026"/>
        <item sd="0" x="2027"/>
        <item sd="0" x="2028"/>
        <item sd="0" x="2029"/>
        <item sd="0" x="2030"/>
        <item sd="0" x="2031"/>
        <item sd="0" x="2032"/>
        <item sd="0" x="2033"/>
        <item sd="0" x="2034"/>
        <item sd="0" x="2035"/>
        <item sd="0" x="2036"/>
        <item sd="0" x="2037"/>
        <item sd="0" x="2038"/>
        <item sd="0" x="2039"/>
        <item sd="0" x="2040"/>
        <item sd="0" x="2041"/>
        <item sd="0" x="2042"/>
        <item sd="0" x="2043"/>
        <item sd="0" x="2044"/>
        <item sd="0" x="2045"/>
        <item sd="0" x="2046"/>
        <item sd="0" x="2047"/>
        <item sd="0" x="2048"/>
        <item sd="0" x="2049"/>
        <item sd="0" x="2050"/>
        <item sd="0" x="2051"/>
        <item sd="0" x="2052"/>
        <item sd="0" x="2053"/>
        <item sd="0" x="2054"/>
        <item sd="0" x="2055"/>
        <item sd="0" x="2056"/>
        <item sd="0" x="2057"/>
        <item sd="0" x="2058"/>
        <item sd="0" x="2059"/>
        <item sd="0" x="2060"/>
        <item sd="0" x="2061"/>
        <item sd="0" x="2062"/>
        <item sd="0" x="2063"/>
        <item sd="0" x="2064"/>
        <item sd="0" x="2065"/>
        <item sd="0" x="2066"/>
        <item sd="0" x="2067"/>
        <item sd="0" x="2068"/>
        <item sd="0" x="2069"/>
        <item sd="0" x="2070"/>
        <item sd="0" x="2071"/>
        <item sd="0" x="2072"/>
        <item sd="0" x="2073"/>
        <item sd="0" x="2074"/>
        <item sd="0" x="2075"/>
        <item sd="0" x="2076"/>
        <item sd="0" x="2077"/>
        <item sd="0" x="2078"/>
        <item sd="0" x="2079"/>
        <item sd="0" x="2080"/>
        <item sd="0" x="2081"/>
        <item sd="0" x="2082"/>
        <item sd="0" x="2083"/>
        <item sd="0" x="2084"/>
        <item sd="0" x="2085"/>
        <item sd="0" x="2086"/>
        <item sd="0" x="2087"/>
        <item sd="0" x="2088"/>
        <item sd="0" x="2089"/>
        <item sd="0" x="2090"/>
        <item sd="0" x="2091"/>
        <item sd="0" x="2092"/>
        <item sd="0" x="2093"/>
        <item sd="0" x="2094"/>
        <item sd="0" x="2095"/>
        <item sd="0" x="2096"/>
        <item sd="0" x="2097"/>
        <item sd="0" x="2098"/>
        <item sd="0" x="2099"/>
        <item sd="0" x="2100"/>
        <item sd="0" x="2101"/>
        <item sd="0" x="2102"/>
        <item sd="0" x="2103"/>
        <item sd="0" x="2104"/>
        <item sd="0" x="2105"/>
        <item sd="0" x="2106"/>
        <item sd="0" x="2107"/>
        <item sd="0" x="2108"/>
        <item sd="0" x="2109"/>
        <item sd="0" x="2110"/>
        <item sd="0" x="2111"/>
        <item sd="0" x="2112"/>
        <item sd="0" x="2113"/>
        <item sd="0" x="2114"/>
        <item sd="0" x="2115"/>
        <item sd="0" x="2116"/>
        <item sd="0" x="2117"/>
        <item sd="0" x="2118"/>
        <item sd="0" x="2119"/>
        <item sd="0" x="2120"/>
        <item sd="0" x="2121"/>
        <item sd="0" x="2122"/>
        <item sd="0" x="2123"/>
        <item sd="0" x="2124"/>
        <item sd="0" x="2125"/>
        <item sd="0" x="2126"/>
        <item sd="0" x="2127"/>
        <item sd="0" x="2128"/>
        <item sd="0" x="2129"/>
        <item sd="0" x="2130"/>
        <item sd="0" x="2131"/>
        <item sd="0" x="2132"/>
        <item sd="0" x="2133"/>
        <item sd="0" x="2134"/>
        <item sd="0" x="2135"/>
        <item sd="0" x="2136"/>
        <item sd="0" x="2137"/>
        <item sd="0" x="2138"/>
        <item sd="0" x="2139"/>
        <item sd="0" x="2140"/>
        <item sd="0" x="2141"/>
        <item sd="0" x="2142"/>
        <item sd="0" x="2143"/>
        <item sd="0" x="2144"/>
        <item sd="0" x="2145"/>
        <item sd="0" x="2146"/>
        <item sd="0" x="2147"/>
        <item sd="0" x="2148"/>
        <item sd="0" x="2149"/>
        <item sd="0" x="2150"/>
        <item sd="0" x="2151"/>
        <item sd="0" x="2152"/>
        <item sd="0" x="2153"/>
        <item sd="0" x="2154"/>
        <item sd="0" x="2155"/>
        <item sd="0" x="2156"/>
        <item sd="0" x="2157"/>
        <item sd="0" x="2158"/>
        <item sd="0" x="2159"/>
        <item sd="0" x="2160"/>
        <item sd="0" x="2161"/>
        <item sd="0" x="2162"/>
        <item sd="0" x="2163"/>
        <item sd="0" x="2164"/>
        <item sd="0" x="2165"/>
        <item sd="0" x="2166"/>
        <item sd="0" x="2167"/>
        <item sd="0" x="2168"/>
        <item sd="0" x="2169"/>
        <item sd="0" x="2170"/>
        <item sd="0" x="2171"/>
        <item sd="0" x="2172"/>
        <item sd="0" x="2173"/>
        <item sd="0" x="2174"/>
        <item sd="0" x="2175"/>
        <item sd="0" x="2176"/>
        <item sd="0" x="2177"/>
        <item sd="0" x="2178"/>
        <item sd="0" x="2179"/>
        <item sd="0" x="2180"/>
        <item sd="0" x="2181"/>
        <item sd="0" x="2182"/>
        <item sd="0" x="2183"/>
        <item sd="0" x="2184"/>
        <item sd="0" x="2185"/>
        <item sd="0" x="2186"/>
        <item sd="0" x="2187"/>
        <item sd="0" x="2188"/>
        <item sd="0" x="2189"/>
        <item sd="0" x="2190"/>
        <item sd="0" x="2191"/>
        <item sd="0" x="2192"/>
        <item sd="0" x="2193"/>
        <item sd="0" x="2194"/>
        <item sd="0" x="2195"/>
        <item sd="0" x="2196"/>
        <item sd="0" x="2197"/>
        <item sd="0" x="2198"/>
        <item sd="0" x="2199"/>
        <item sd="0" x="2200"/>
        <item sd="0" x="2201"/>
        <item sd="0" x="2202"/>
        <item sd="0" x="2203"/>
        <item sd="0" x="2204"/>
        <item sd="0" x="2205"/>
        <item sd="0" x="2206"/>
        <item sd="0" x="2207"/>
        <item sd="0" x="2208"/>
        <item sd="0" x="2209"/>
        <item sd="0" x="2210"/>
        <item sd="0" x="2211"/>
        <item sd="0" x="2212"/>
        <item sd="0" x="2213"/>
        <item sd="0" x="2214"/>
        <item sd="0" x="2215"/>
        <item sd="0" x="2216"/>
        <item sd="0" x="2217"/>
        <item sd="0" x="2218"/>
        <item sd="0" x="2219"/>
        <item sd="0" x="2220"/>
        <item sd="0" x="2221"/>
        <item sd="0" x="2222"/>
        <item sd="0" x="2223"/>
        <item sd="0" x="2224"/>
        <item sd="0" x="2225"/>
        <item sd="0" x="2226"/>
        <item sd="0" x="2227"/>
        <item sd="0" x="2228"/>
        <item sd="0" x="2229"/>
        <item sd="0" x="2230"/>
        <item sd="0" x="2231"/>
        <item sd="0" x="2232"/>
        <item sd="0" x="2233"/>
        <item sd="0" x="2234"/>
        <item sd="0" x="2235"/>
        <item sd="0" x="2236"/>
        <item sd="0" x="2237"/>
        <item sd="0" x="2238"/>
        <item sd="0" x="2239"/>
        <item sd="0" x="2240"/>
        <item sd="0" x="2241"/>
        <item sd="0" x="2242"/>
        <item sd="0" x="2243"/>
        <item sd="0" x="2244"/>
        <item sd="0" x="2245"/>
        <item sd="0" x="2246"/>
        <item sd="0" x="2247"/>
        <item sd="0" x="2248"/>
        <item sd="0" x="2249"/>
        <item sd="0" x="2250"/>
        <item sd="0" x="2251"/>
        <item sd="0" x="2252"/>
        <item sd="0" x="2253"/>
        <item sd="0" x="2254"/>
        <item sd="0" x="2255"/>
        <item sd="0" x="2256"/>
        <item sd="0" x="2257"/>
        <item sd="0" x="2258"/>
        <item sd="0" x="2259"/>
        <item sd="0" x="2260"/>
        <item sd="0" x="2261"/>
        <item sd="0" x="2262"/>
        <item sd="0" x="2263"/>
        <item sd="0" x="2264"/>
        <item sd="0" x="2265"/>
        <item sd="0" x="2266"/>
        <item sd="0" x="2267"/>
        <item sd="0" x="2268"/>
        <item sd="0" x="2269"/>
        <item sd="0" x="2270"/>
        <item sd="0" x="2271"/>
        <item sd="0" x="2272"/>
        <item sd="0" x="2273"/>
        <item sd="0" x="2274"/>
        <item sd="0" x="2275"/>
        <item sd="0" x="2276"/>
        <item sd="0" x="2277"/>
        <item sd="0" x="2278"/>
        <item sd="0" x="2279"/>
        <item sd="0" x="2280"/>
        <item sd="0" x="2281"/>
        <item sd="0" x="2282"/>
        <item sd="0" x="2283"/>
        <item sd="0" x="2284"/>
        <item sd="0" x="2285"/>
        <item sd="0" x="2286"/>
        <item sd="0" x="2287"/>
        <item sd="0" x="2288"/>
        <item sd="0" x="2289"/>
        <item sd="0" x="2290"/>
        <item sd="0" x="2291"/>
        <item sd="0" x="2292"/>
        <item sd="0" x="2293"/>
        <item sd="0" x="2294"/>
        <item sd="0" x="2295"/>
        <item sd="0" x="2296"/>
        <item sd="0" x="2297"/>
        <item sd="0" x="2298"/>
        <item sd="0" x="2299"/>
        <item sd="0" x="2300"/>
        <item sd="0" x="2301"/>
        <item sd="0" x="2302"/>
        <item sd="0" x="2303"/>
        <item sd="0" x="2304"/>
        <item sd="0" x="2305"/>
        <item sd="0" x="2306"/>
        <item sd="0" x="2307"/>
        <item sd="0" x="2308"/>
        <item sd="0" x="2309"/>
        <item sd="0" x="2310"/>
        <item sd="0" x="2311"/>
        <item sd="0" x="2312"/>
        <item sd="0" x="2313"/>
        <item sd="0" x="2314"/>
        <item sd="0" x="2315"/>
        <item sd="0" x="2316"/>
        <item sd="0" x="2317"/>
        <item sd="0" x="2318"/>
        <item sd="0" x="2319"/>
        <item sd="0" x="2320"/>
        <item sd="0" x="2321"/>
        <item sd="0" x="2322"/>
        <item sd="0" x="2323"/>
        <item sd="0" x="2324"/>
        <item sd="0" x="2325"/>
        <item sd="0" x="2326"/>
        <item sd="0" x="2327"/>
        <item sd="0" x="2328"/>
        <item sd="0" x="2329"/>
        <item sd="0" x="2330"/>
        <item sd="0" x="2331"/>
        <item sd="0" x="2332"/>
        <item sd="0" x="2333"/>
        <item sd="0" x="2334"/>
        <item sd="0" x="2335"/>
        <item sd="0" x="2336"/>
        <item sd="0" x="2337"/>
        <item sd="0" x="2338"/>
        <item sd="0" x="2339"/>
        <item sd="0" x="2340"/>
        <item sd="0" x="2341"/>
        <item sd="0" x="2342"/>
        <item sd="0" x="2343"/>
        <item sd="0" x="2344"/>
        <item sd="0" x="2345"/>
        <item sd="0" x="2346"/>
        <item sd="0" x="2347"/>
        <item sd="0" x="2348"/>
        <item sd="0" x="2349"/>
        <item sd="0" x="2350"/>
        <item sd="0" x="2351"/>
        <item sd="0" x="2352"/>
        <item sd="0" x="2353"/>
        <item sd="0" x="2354"/>
        <item sd="0" x="2355"/>
        <item sd="0" x="2356"/>
        <item sd="0" x="2357"/>
        <item sd="0" x="2358"/>
        <item sd="0" x="2359"/>
        <item sd="0" x="2360"/>
        <item sd="0" x="2361"/>
        <item sd="0" x="2362"/>
        <item sd="0" x="2363"/>
        <item sd="0" x="2364"/>
        <item sd="0" x="2365"/>
        <item sd="0" x="2366"/>
        <item sd="0" x="2367"/>
        <item sd="0" x="2368"/>
        <item sd="0" x="2369"/>
        <item sd="0" x="2370"/>
        <item sd="0" x="2371"/>
        <item sd="0" x="2372"/>
        <item sd="0" x="2373"/>
        <item sd="0" x="2374"/>
        <item sd="0" x="2375"/>
        <item sd="0" x="2376"/>
        <item sd="0" x="2377"/>
        <item sd="0" x="2378"/>
        <item sd="0" x="2379"/>
        <item sd="0" x="2380"/>
        <item sd="0" x="2381"/>
        <item sd="0" x="2382"/>
        <item sd="0" x="2383"/>
        <item sd="0" x="2384"/>
        <item sd="0" x="2385"/>
        <item sd="0" x="2386"/>
        <item sd="0" x="2387"/>
        <item sd="0" x="2388"/>
        <item sd="0" x="2389"/>
        <item sd="0" x="2390"/>
        <item sd="0" x="2391"/>
        <item sd="0" x="2392"/>
        <item sd="0" x="2393"/>
        <item sd="0" x="2394"/>
        <item sd="0" x="2395"/>
        <item sd="0" x="2396"/>
        <item sd="0" x="2397"/>
        <item sd="0" x="2398"/>
        <item sd="0" x="2399"/>
        <item sd="0" x="2400"/>
        <item sd="0" x="2401"/>
        <item sd="0" x="2402"/>
        <item sd="0" x="2403"/>
        <item sd="0" x="2404"/>
        <item sd="0" x="2405"/>
        <item sd="0" x="2406"/>
        <item sd="0" x="2407"/>
        <item sd="0" x="2408"/>
        <item sd="0" x="2409"/>
        <item sd="0" x="2410"/>
        <item sd="0" x="2411"/>
        <item sd="0" x="2412"/>
        <item sd="0" x="2413"/>
        <item sd="0" x="2414"/>
        <item sd="0" x="2415"/>
        <item sd="0" x="2416"/>
        <item sd="0" x="2417"/>
        <item sd="0" x="2418"/>
        <item sd="0" x="2419"/>
        <item sd="0" x="2420"/>
        <item sd="0" x="2421"/>
        <item sd="0" x="2422"/>
        <item sd="0" x="2423"/>
        <item sd="0" x="2424"/>
        <item sd="0" x="2425"/>
        <item sd="0" x="2426"/>
        <item sd="0" x="2427"/>
        <item sd="0" x="2428"/>
        <item sd="0" x="2429"/>
        <item sd="0" x="2430"/>
        <item sd="0" x="2431"/>
        <item sd="0" x="2432"/>
        <item sd="0" x="2433"/>
        <item sd="0" x="2434"/>
        <item sd="0" x="2435"/>
        <item sd="0" x="2436"/>
        <item sd="0" x="2437"/>
        <item sd="0" x="2438"/>
        <item sd="0" x="2439"/>
        <item sd="0" x="2440"/>
        <item sd="0" x="2441"/>
        <item sd="0" x="2442"/>
        <item sd="0" x="2443"/>
        <item sd="0" x="2444"/>
        <item sd="0" x="2445"/>
        <item sd="0" x="2446"/>
        <item sd="0" x="2447"/>
        <item sd="0" x="2448"/>
        <item sd="0" x="2449"/>
        <item sd="0" x="2450"/>
        <item sd="0" x="2451"/>
        <item sd="0" x="2452"/>
        <item sd="0" x="2453"/>
        <item sd="0" x="2454"/>
        <item sd="0" x="2455"/>
        <item sd="0" x="2456"/>
        <item sd="0" x="2457"/>
        <item sd="0" x="2458"/>
        <item sd="0" x="2459"/>
        <item sd="0" x="2460"/>
        <item sd="0" x="2461"/>
        <item sd="0" x="2462"/>
        <item sd="0" x="2463"/>
        <item sd="0" x="2464"/>
        <item sd="0" x="2465"/>
        <item sd="0" x="2466"/>
        <item sd="0" x="2467"/>
        <item sd="0" x="2468"/>
        <item sd="0" x="2469"/>
        <item sd="0" x="2470"/>
        <item sd="0" x="2471"/>
        <item sd="0" x="2472"/>
        <item sd="0" x="2473"/>
        <item sd="0" x="2474"/>
        <item sd="0" x="2475"/>
        <item sd="0" x="2476"/>
        <item sd="0" x="2477"/>
        <item sd="0" x="2478"/>
        <item sd="0" x="2479"/>
        <item sd="0" x="2480"/>
        <item sd="0" x="2481"/>
        <item sd="0" x="2482"/>
        <item sd="0" x="2483"/>
        <item sd="0" x="2484"/>
        <item sd="0" x="2485"/>
        <item sd="0" x="2486"/>
        <item sd="0" x="2487"/>
        <item sd="0" x="2488"/>
        <item sd="0" x="2489"/>
        <item sd="0" x="2490"/>
        <item sd="0" x="2491"/>
        <item sd="0" x="2492"/>
        <item sd="0" x="2493"/>
        <item sd="0" x="2494"/>
        <item sd="0" x="2495"/>
        <item sd="0" x="2496"/>
        <item sd="0" x="2497"/>
        <item sd="0" x="2498"/>
        <item sd="0" x="2499"/>
        <item sd="0" x="2500"/>
        <item sd="0" x="2501"/>
        <item sd="0" x="2502"/>
        <item sd="0" x="2503"/>
        <item sd="0" x="2504"/>
        <item sd="0" x="2505"/>
        <item sd="0" x="2506"/>
        <item sd="0" x="2507"/>
        <item sd="0" x="2508"/>
        <item sd="0" x="2509"/>
        <item sd="0" x="2510"/>
        <item sd="0" x="2511"/>
        <item sd="0" x="2512"/>
        <item sd="0" x="2513"/>
        <item sd="0" x="2514"/>
        <item sd="0" x="2515"/>
        <item sd="0" x="2516"/>
        <item sd="0" x="2517"/>
        <item sd="0" x="2518"/>
        <item sd="0" x="2519"/>
        <item sd="0" x="2520"/>
        <item sd="0" x="2521"/>
        <item sd="0" x="2522"/>
        <item sd="0" x="2523"/>
        <item sd="0" x="2524"/>
        <item sd="0" x="2525"/>
        <item sd="0" x="2526"/>
        <item sd="0" x="2527"/>
        <item sd="0" x="2528"/>
        <item sd="0" x="2529"/>
        <item sd="0" x="2530"/>
        <item sd="0" x="2531"/>
        <item sd="0" x="2532"/>
        <item sd="0" x="2533"/>
        <item sd="0" x="2534"/>
        <item sd="0" x="2535"/>
        <item sd="0" x="2536"/>
        <item sd="0" x="2537"/>
        <item sd="0" x="2538"/>
        <item sd="0" x="2539"/>
        <item sd="0" x="2540"/>
        <item sd="0" x="2541"/>
        <item sd="0" x="2542"/>
        <item sd="0" x="2543"/>
        <item sd="0" x="2544"/>
        <item sd="0" x="2545"/>
        <item sd="0" x="2546"/>
        <item sd="0" x="2547"/>
        <item sd="0" x="2548"/>
        <item sd="0" x="2549"/>
        <item sd="0" x="2550"/>
        <item sd="0" x="2551"/>
        <item sd="0" x="2552"/>
        <item sd="0" x="2553"/>
        <item sd="0" x="2554"/>
        <item sd="0" x="2555"/>
        <item sd="0" x="2556"/>
        <item sd="0" x="2557"/>
        <item sd="0" x="2558"/>
        <item sd="0" x="2559"/>
        <item sd="0" x="2560"/>
        <item sd="0" x="2561"/>
        <item sd="0" x="2562"/>
        <item sd="0" x="2563"/>
        <item sd="0" x="2564"/>
        <item sd="0" x="2565"/>
        <item sd="0" x="2566"/>
        <item sd="0" x="2567"/>
        <item sd="0" x="2568"/>
        <item sd="0" x="2569"/>
        <item sd="0" x="2570"/>
        <item sd="0" x="2571"/>
        <item sd="0" x="2572"/>
        <item sd="0" x="2573"/>
        <item sd="0" x="2574"/>
        <item sd="0" x="2575"/>
        <item sd="0" x="2576"/>
        <item sd="0" x="2577"/>
        <item sd="0" x="2578"/>
        <item sd="0" x="2579"/>
        <item sd="0" x="2580"/>
        <item sd="0" x="2581"/>
        <item sd="0" x="2582"/>
        <item sd="0" x="2583"/>
        <item sd="0" x="2584"/>
        <item sd="0" x="2585"/>
        <item sd="0" x="2586"/>
        <item sd="0" x="2587"/>
        <item sd="0" x="2588"/>
        <item sd="0" x="2589"/>
        <item sd="0" x="2590"/>
        <item sd="0" x="2591"/>
        <item sd="0" x="2592"/>
        <item sd="0" x="2593"/>
        <item sd="0" x="2594"/>
        <item sd="0" x="2595"/>
        <item sd="0" x="2596"/>
        <item sd="0" x="2597"/>
        <item sd="0" x="2598"/>
        <item sd="0" x="2599"/>
        <item sd="0" x="2600"/>
        <item sd="0" x="2601"/>
        <item sd="0" x="2602"/>
        <item sd="0" x="2603"/>
        <item sd="0" x="2604"/>
        <item sd="0" x="2605"/>
        <item sd="0" x="2606"/>
        <item sd="0" x="2607"/>
        <item sd="0" x="2608"/>
        <item sd="0" x="2609"/>
        <item sd="0" x="2610"/>
        <item sd="0" x="2611"/>
        <item sd="0" x="2612"/>
        <item sd="0" x="2613"/>
        <item sd="0" x="2614"/>
        <item sd="0" x="2615"/>
        <item sd="0" x="2616"/>
        <item sd="0" x="2617"/>
        <item sd="0" x="2618"/>
        <item sd="0" x="2619"/>
        <item sd="0" x="2620"/>
        <item sd="0" x="2621"/>
        <item sd="0" x="2622"/>
        <item sd="0" x="2623"/>
        <item sd="0" x="2624"/>
        <item sd="0" x="2625"/>
        <item sd="0" x="2626"/>
        <item sd="0" x="2627"/>
        <item sd="0" x="2628"/>
        <item sd="0" x="2629"/>
        <item sd="0" x="2630"/>
        <item sd="0" x="2631"/>
        <item sd="0" x="2632"/>
        <item sd="0" x="2633"/>
        <item sd="0" x="2634"/>
        <item sd="0" x="2635"/>
        <item sd="0" x="2636"/>
        <item sd="0" x="2637"/>
        <item sd="0" x="2638"/>
        <item sd="0" x="2639"/>
        <item sd="0" x="2640"/>
        <item sd="0" x="2641"/>
        <item sd="0" x="2642"/>
        <item sd="0" x="2643"/>
        <item sd="0" x="2644"/>
        <item sd="0" x="2645"/>
        <item sd="0" x="2646"/>
        <item sd="0" x="2647"/>
        <item sd="0" x="2648"/>
        <item sd="0" x="2649"/>
        <item sd="0" x="2650"/>
        <item sd="0" x="2651"/>
        <item sd="0" x="2652"/>
        <item sd="0" x="2653"/>
        <item sd="0" x="2654"/>
        <item sd="0" x="2655"/>
        <item sd="0" x="2656"/>
        <item sd="0" x="2657"/>
        <item sd="0" x="2658"/>
        <item sd="0" x="2659"/>
        <item sd="0" x="2660"/>
        <item sd="0" x="2661"/>
        <item sd="0" x="2662"/>
        <item sd="0" x="2663"/>
        <item sd="0" x="2664"/>
        <item sd="0" x="2665"/>
        <item sd="0" x="2666"/>
        <item sd="0" x="2667"/>
        <item sd="0" x="2668"/>
        <item sd="0" x="2669"/>
        <item sd="0" x="2670"/>
        <item sd="0" x="2671"/>
        <item sd="0" x="2672"/>
        <item sd="0" x="2673"/>
        <item sd="0" x="2674"/>
        <item sd="0" x="2675"/>
        <item sd="0" x="2676"/>
        <item sd="0" x="2677"/>
        <item sd="0" x="2678"/>
        <item sd="0" x="2679"/>
        <item sd="0" x="2680"/>
        <item sd="0" x="2681"/>
        <item sd="0" x="2682"/>
        <item sd="0" x="2683"/>
        <item sd="0" x="2684"/>
        <item sd="0" x="2685"/>
        <item sd="0" x="2686"/>
        <item sd="0" x="2687"/>
        <item sd="0" x="2688"/>
        <item sd="0" x="2689"/>
        <item sd="0" x="2690"/>
        <item sd="0" x="2691"/>
        <item sd="0" x="2692"/>
        <item sd="0" x="2693"/>
        <item sd="0" x="2694"/>
        <item sd="0" x="2695"/>
        <item sd="0" x="2696"/>
        <item sd="0" x="2697"/>
        <item sd="0" x="2698"/>
        <item sd="0" x="2699"/>
        <item sd="0" x="2700"/>
        <item sd="0" x="2701"/>
        <item sd="0" x="2702"/>
        <item sd="0" x="2703"/>
        <item sd="0" x="2704"/>
        <item sd="0" x="2705"/>
        <item sd="0" x="2706"/>
        <item sd="0" x="2707"/>
        <item sd="0" x="2708"/>
        <item sd="0" x="2709"/>
        <item sd="0" x="2710"/>
        <item sd="0" x="2711"/>
        <item sd="0" x="2712"/>
        <item sd="0" x="2713"/>
        <item sd="0" x="2714"/>
        <item sd="0" x="2715"/>
        <item sd="0" x="2716"/>
        <item sd="0" x="2717"/>
        <item sd="0" x="2718"/>
        <item sd="0" x="2719"/>
        <item sd="0" x="2720"/>
        <item sd="0" x="2721"/>
        <item sd="0" x="2722"/>
        <item sd="0" x="2723"/>
        <item sd="0" x="2724"/>
        <item sd="0" x="2725"/>
        <item sd="0" x="2726"/>
        <item sd="0" x="2727"/>
        <item sd="0" x="2728"/>
        <item sd="0" x="2729"/>
        <item sd="0" x="2730"/>
        <item sd="0" x="2731"/>
        <item sd="0" x="2732"/>
        <item sd="0" x="2733"/>
        <item sd="0" x="2734"/>
        <item sd="0" x="2735"/>
        <item sd="0" x="2736"/>
        <item sd="0" x="2737"/>
        <item sd="0" x="2738"/>
        <item sd="0" x="2739"/>
        <item sd="0" x="2740"/>
        <item sd="0" x="2741"/>
        <item sd="0" x="2742"/>
        <item sd="0" x="2743"/>
        <item sd="0" x="2744"/>
        <item sd="0" x="2745"/>
        <item sd="0" x="2746"/>
        <item sd="0" x="2747"/>
        <item sd="0" x="2748"/>
        <item sd="0" x="2749"/>
        <item sd="0" x="2750"/>
        <item sd="0" x="2751"/>
        <item sd="0" x="2752"/>
        <item sd="0" x="2753"/>
        <item sd="0" x="2754"/>
        <item sd="0" x="2755"/>
        <item sd="0" x="2756"/>
        <item sd="0" x="2757"/>
        <item sd="0" x="2758"/>
        <item sd="0" x="2759"/>
        <item sd="0" x="2760"/>
        <item sd="0" x="2761"/>
        <item sd="0" x="2762"/>
        <item sd="0" x="2763"/>
        <item sd="0" x="2764"/>
        <item sd="0" x="2765"/>
        <item sd="0" x="2766"/>
        <item sd="0" x="2767"/>
        <item sd="0" x="2768"/>
        <item sd="0" x="2769"/>
        <item sd="0" x="2770"/>
        <item sd="0" x="2771"/>
        <item sd="0" x="2772"/>
        <item sd="0" x="2773"/>
        <item sd="0" x="2774"/>
        <item sd="0" x="2775"/>
        <item sd="0" x="2776"/>
        <item sd="0" x="2777"/>
        <item sd="0" x="2778"/>
        <item sd="0" x="2779"/>
        <item sd="0" x="2780"/>
        <item sd="0" x="2781"/>
        <item sd="0" x="2782"/>
        <item sd="0" x="2783"/>
        <item sd="0" x="2784"/>
        <item sd="0" x="2785"/>
        <item sd="0" x="2786"/>
        <item sd="0" x="2787"/>
        <item sd="0" x="2788"/>
        <item sd="0" x="2789"/>
        <item sd="0" x="2790"/>
        <item sd="0" x="2791"/>
        <item sd="0" x="2792"/>
        <item sd="0" x="2793"/>
        <item sd="0" x="2794"/>
        <item sd="0" x="2795"/>
        <item sd="0" x="2796"/>
        <item sd="0" x="2797"/>
        <item sd="0" x="2798"/>
        <item sd="0" x="2799"/>
        <item sd="0" x="2800"/>
        <item sd="0" x="2801"/>
        <item sd="0" x="2802"/>
        <item sd="0" x="2803"/>
        <item sd="0" x="2804"/>
        <item sd="0" x="2805"/>
        <item sd="0" x="2806"/>
        <item sd="0" x="2807"/>
        <item sd="0" x="2808"/>
        <item sd="0" x="2809"/>
        <item sd="0" x="2810"/>
        <item sd="0" x="2811"/>
        <item sd="0" x="2812"/>
        <item sd="0" x="2813"/>
        <item sd="0" x="2814"/>
        <item sd="0" x="2815"/>
        <item sd="0" x="2816"/>
        <item sd="0" x="2817"/>
        <item sd="0" x="2818"/>
        <item sd="0" x="2819"/>
        <item sd="0" x="2820"/>
        <item sd="0" x="2821"/>
        <item sd="0" x="2822"/>
        <item sd="0" x="2823"/>
        <item sd="0" x="2824"/>
        <item sd="0" x="2825"/>
        <item sd="0" x="2826"/>
        <item sd="0" x="2827"/>
        <item sd="0" x="2828"/>
        <item sd="0" x="2829"/>
        <item sd="0" x="2830"/>
        <item sd="0" x="2831"/>
        <item sd="0" x="2832"/>
        <item sd="0" x="2833"/>
        <item sd="0" x="2834"/>
        <item sd="0" x="2835"/>
        <item sd="0" x="2836"/>
        <item sd="0" x="2837"/>
        <item sd="0" x="2838"/>
        <item sd="0" x="2839"/>
        <item sd="0" x="2840"/>
        <item sd="0" x="2841"/>
        <item sd="0" x="2842"/>
        <item sd="0" x="2843"/>
        <item sd="0" x="2844"/>
        <item sd="0" x="2845"/>
        <item sd="0" x="2846"/>
        <item sd="0" x="2847"/>
        <item sd="0" x="2848"/>
        <item sd="0" x="2849"/>
        <item sd="0" x="2850"/>
        <item sd="0" x="2851"/>
        <item sd="0" x="2852"/>
        <item sd="0" x="2853"/>
        <item sd="0" x="2854"/>
        <item sd="0" x="2855"/>
        <item sd="0" x="2856"/>
        <item sd="0" x="2857"/>
        <item sd="0" x="2858"/>
        <item sd="0" x="2859"/>
        <item sd="0" x="2860"/>
        <item sd="0" x="2861"/>
        <item sd="0" x="2862"/>
        <item sd="0" x="2863"/>
        <item sd="0" x="2864"/>
        <item sd="0" x="2865"/>
        <item sd="0" x="2866"/>
        <item sd="0" x="2867"/>
        <item sd="0" x="2868"/>
        <item sd="0" x="2869"/>
        <item sd="0" x="2870"/>
        <item sd="0" x="2871"/>
        <item sd="0" x="2872"/>
        <item sd="0" x="2873"/>
        <item sd="0" x="2874"/>
        <item sd="0" x="2875"/>
        <item sd="0" x="2876"/>
        <item sd="0" x="2877"/>
        <item sd="0" x="2878"/>
        <item sd="0" x="2879"/>
        <item sd="0" x="2880"/>
        <item sd="0" x="2881"/>
        <item sd="0" x="2882"/>
        <item sd="0" x="2883"/>
        <item sd="0" x="2884"/>
        <item sd="0" x="2885"/>
        <item sd="0" x="2886"/>
        <item sd="0" x="2887"/>
        <item sd="0" x="2888"/>
        <item sd="0" x="2889"/>
        <item sd="0" x="2890"/>
        <item sd="0" x="2891"/>
        <item sd="0" x="2892"/>
        <item sd="0" x="2893"/>
        <item sd="0" x="2894"/>
        <item sd="0" x="2895"/>
        <item sd="0" x="2896"/>
        <item sd="0" x="2897"/>
        <item sd="0" x="2898"/>
        <item sd="0" x="2899"/>
        <item sd="0" x="2900"/>
        <item sd="0" x="2901"/>
        <item sd="0" x="2902"/>
        <item sd="0" x="2903"/>
        <item sd="0" x="2904"/>
        <item sd="0" x="2905"/>
        <item sd="0" x="2906"/>
        <item sd="0" x="2907"/>
        <item sd="0" x="2908"/>
        <item sd="0" x="2909"/>
        <item sd="0" x="2910"/>
        <item sd="0" x="2911"/>
        <item sd="0" x="2912"/>
        <item sd="0" x="2913"/>
        <item sd="0" x="2914"/>
        <item sd="0" x="2915"/>
        <item sd="0" x="2916"/>
        <item sd="0" x="2917"/>
        <item sd="0" x="2918"/>
        <item sd="0" x="2919"/>
        <item sd="0" x="2920"/>
        <item sd="0" x="2921"/>
        <item sd="0" x="2922"/>
        <item sd="0" x="2923"/>
        <item sd="0" x="2924"/>
        <item sd="0" x="2925"/>
        <item sd="0" x="2926"/>
        <item sd="0" x="2927"/>
        <item sd="0" x="2928"/>
        <item sd="0" x="2929"/>
        <item sd="0" x="2930"/>
        <item sd="0" x="2931"/>
        <item sd="0" x="2932"/>
        <item sd="0" x="2933"/>
        <item sd="0" x="2934"/>
        <item sd="0" x="2935"/>
        <item sd="0" x="2936"/>
        <item sd="0" x="2937"/>
        <item sd="0" x="2938"/>
        <item sd="0" x="2939"/>
        <item sd="0" x="2940"/>
        <item sd="0" x="2941"/>
        <item sd="0" x="2942"/>
        <item sd="0" x="2943"/>
        <item sd="0" x="2944"/>
        <item sd="0" x="2945"/>
        <item sd="0" x="2946"/>
        <item sd="0" x="2947"/>
        <item sd="0" x="2948"/>
        <item sd="0" x="2949"/>
        <item sd="0" x="2950"/>
        <item sd="0" x="2951"/>
        <item sd="0" x="2952"/>
        <item sd="0" x="2953"/>
        <item sd="0" x="2954"/>
        <item sd="0" x="2955"/>
        <item sd="0" x="2956"/>
        <item sd="0" x="2957"/>
        <item sd="0" x="2958"/>
        <item sd="0" x="2959"/>
        <item sd="0" x="2960"/>
        <item sd="0" x="2961"/>
        <item sd="0" x="2962"/>
        <item sd="0" x="2963"/>
        <item sd="0" x="2964"/>
        <item sd="0" x="2965"/>
        <item sd="0" x="2966"/>
        <item sd="0" x="2967"/>
        <item sd="0" x="2968"/>
        <item sd="0" x="2969"/>
        <item sd="0" x="2970"/>
        <item sd="0" x="2971"/>
        <item sd="0" x="2972"/>
        <item sd="0" x="2973"/>
        <item sd="0" x="2974"/>
        <item sd="0" x="2975"/>
        <item sd="0" x="2976"/>
        <item sd="0" x="2977"/>
        <item sd="0" x="2978"/>
        <item sd="0" x="2979"/>
        <item sd="0" x="2980"/>
        <item sd="0" x="2981"/>
        <item sd="0" x="2982"/>
        <item sd="0" x="2983"/>
        <item sd="0" x="2984"/>
        <item sd="0" x="2985"/>
        <item sd="0" x="2986"/>
        <item sd="0" x="2987"/>
        <item sd="0" x="2988"/>
        <item sd="0" x="2989"/>
        <item sd="0" x="2990"/>
        <item sd="0" x="2991"/>
        <item sd="0" x="2992"/>
        <item sd="0" x="2993"/>
        <item sd="0" x="2994"/>
        <item sd="0" x="2995"/>
        <item sd="0" x="2996"/>
        <item sd="0" x="2997"/>
        <item sd="0" x="2998"/>
        <item sd="0" x="2999"/>
        <item sd="0" x="3000"/>
        <item sd="0" x="3001"/>
        <item sd="0" x="3002"/>
        <item sd="0" x="3003"/>
        <item sd="0" x="3004"/>
        <item sd="0" x="3005"/>
        <item sd="0" x="3006"/>
        <item sd="0" x="3007"/>
        <item sd="0" x="3008"/>
        <item sd="0" x="3009"/>
        <item sd="0" x="3010"/>
        <item sd="0" x="3011"/>
        <item sd="0" x="3012"/>
        <item sd="0" x="3013"/>
        <item sd="0" x="3014"/>
        <item sd="0" x="3015"/>
        <item sd="0" x="3016"/>
        <item sd="0" x="3017"/>
        <item sd="0" x="3018"/>
        <item sd="0" x="3019"/>
        <item sd="0" x="3020"/>
        <item sd="0" x="3021"/>
        <item sd="0" x="3022"/>
        <item sd="0" x="3023"/>
        <item sd="0" x="3024"/>
        <item sd="0" x="3025"/>
        <item sd="0" x="3026"/>
        <item sd="0" x="3027"/>
        <item sd="0" x="3028"/>
        <item sd="0" x="3029"/>
        <item sd="0" x="3030"/>
        <item sd="0" x="3031"/>
        <item sd="0" x="3032"/>
        <item sd="0" x="3033"/>
        <item sd="0" x="3034"/>
        <item sd="0" x="3035"/>
        <item sd="0" x="3036"/>
        <item sd="0" x="3037"/>
        <item sd="0" x="3038"/>
        <item sd="0" x="3039"/>
        <item sd="0" x="3040"/>
        <item sd="0" x="3041"/>
        <item sd="0" x="3042"/>
        <item sd="0" x="3043"/>
        <item sd="0" x="3044"/>
        <item sd="0" x="3045"/>
        <item sd="0" x="3046"/>
        <item sd="0" x="3047"/>
        <item sd="0" x="3048"/>
        <item sd="0" x="3049"/>
        <item sd="0" x="3050"/>
        <item sd="0" x="3051"/>
        <item sd="0" x="3052"/>
        <item sd="0" x="3053"/>
        <item sd="0" x="3054"/>
        <item sd="0" x="3055"/>
        <item sd="0" x="3056"/>
        <item sd="0" x="3057"/>
        <item sd="0" x="3058"/>
        <item sd="0" x="3059"/>
        <item sd="0" x="3060"/>
        <item sd="0" x="3061"/>
        <item sd="0" x="3062"/>
        <item sd="0" x="3063"/>
        <item sd="0" x="3064"/>
        <item sd="0" x="3065"/>
        <item sd="0" x="3066"/>
        <item sd="0" x="3067"/>
        <item sd="0" x="3068"/>
        <item sd="0" x="3069"/>
        <item sd="0" x="3070"/>
        <item sd="0" x="3071"/>
        <item sd="0" x="3072"/>
        <item sd="0" x="3073"/>
        <item sd="0" x="3074"/>
        <item sd="0" x="3075"/>
        <item sd="0" x="3076"/>
        <item sd="0" x="3077"/>
        <item sd="0" x="3078"/>
        <item sd="0" x="3079"/>
        <item sd="0" x="3080"/>
        <item sd="0" x="3081"/>
        <item sd="0" x="3082"/>
        <item sd="0" x="3083"/>
        <item sd="0" x="3084"/>
        <item sd="0" x="3085"/>
        <item sd="0" x="3086"/>
        <item sd="0" x="3087"/>
        <item sd="0" x="3088"/>
        <item sd="0" x="3089"/>
        <item sd="0" x="3090"/>
        <item sd="0" x="3091"/>
        <item sd="0" x="3092"/>
        <item sd="0" x="3093"/>
        <item sd="0" x="3094"/>
        <item sd="0" x="3095"/>
        <item sd="0" x="3096"/>
        <item sd="0" x="3097"/>
        <item sd="0" x="3098"/>
        <item sd="0" x="3099"/>
        <item sd="0" x="3100"/>
        <item sd="0" x="3101"/>
        <item sd="0" x="3102"/>
        <item sd="0" x="3103"/>
        <item sd="0" x="3104"/>
        <item sd="0" x="3105"/>
        <item sd="0" x="3106"/>
        <item sd="0" x="3107"/>
        <item sd="0" x="3108"/>
        <item sd="0" x="3109"/>
        <item sd="0" x="3110"/>
        <item sd="0" x="3111"/>
        <item sd="0" x="3112"/>
        <item sd="0" x="3113"/>
        <item sd="0" x="3114"/>
        <item sd="0" x="3115"/>
        <item sd="0" x="3116"/>
        <item sd="0" x="3117"/>
        <item sd="0" x="3118"/>
        <item sd="0" x="3119"/>
        <item sd="0" x="3120"/>
        <item sd="0" x="3121"/>
        <item sd="0" x="3122"/>
        <item sd="0" x="3123"/>
        <item sd="0" x="3124"/>
        <item sd="0" x="3125"/>
        <item sd="0" x="3126"/>
        <item sd="0" x="3127"/>
        <item sd="0" x="3128"/>
        <item sd="0" x="3129"/>
        <item sd="0" x="3130"/>
        <item sd="0" x="3131"/>
        <item sd="0" x="3132"/>
        <item sd="0" x="3133"/>
        <item sd="0" x="3134"/>
        <item sd="0" x="3135"/>
        <item sd="0" x="3136"/>
        <item sd="0" x="3137"/>
        <item sd="0" x="3138"/>
        <item sd="0" x="3139"/>
        <item sd="0" x="3140"/>
        <item sd="0" x="3141"/>
        <item sd="0" x="3142"/>
        <item sd="0" x="3143"/>
        <item sd="0" x="3144"/>
        <item sd="0" x="3145"/>
        <item sd="0" x="3146"/>
        <item sd="0" x="3147"/>
        <item sd="0" x="3148"/>
        <item sd="0" x="3149"/>
        <item sd="0" x="3150"/>
        <item sd="0" x="3151"/>
        <item sd="0" x="3152"/>
        <item sd="0" x="3153"/>
        <item sd="0" x="3154"/>
        <item sd="0" x="3155"/>
        <item sd="0" x="3156"/>
        <item sd="0" x="3157"/>
        <item sd="0" x="3158"/>
        <item sd="0" x="3159"/>
        <item sd="0" x="3160"/>
        <item sd="0" x="3161"/>
        <item sd="0" x="3162"/>
        <item sd="0" x="3163"/>
        <item sd="0" x="3164"/>
        <item sd="0" x="3165"/>
        <item sd="0" x="3166"/>
        <item sd="0" x="3167"/>
        <item sd="0" x="3168"/>
        <item sd="0" x="3169"/>
        <item sd="0" x="3170"/>
        <item sd="0" x="3171"/>
        <item sd="0" x="3172"/>
        <item sd="0" x="3173"/>
        <item sd="0" x="3174"/>
        <item sd="0" x="3175"/>
        <item sd="0" x="3176"/>
        <item sd="0" x="3177"/>
        <item sd="0" x="3178"/>
        <item sd="0" x="3179"/>
        <item sd="0" x="3180"/>
        <item sd="0" x="3181"/>
        <item sd="0" x="3182"/>
        <item sd="0" x="3183"/>
        <item sd="0" x="3184"/>
        <item sd="0" x="3185"/>
        <item sd="0" x="3186"/>
        <item sd="0" x="3187"/>
        <item sd="0" x="3188"/>
        <item sd="0" x="3189"/>
        <item sd="0" x="3190"/>
        <item sd="0" x="3191"/>
        <item sd="0" x="3192"/>
        <item sd="0" x="3193"/>
        <item sd="0" x="3194"/>
        <item sd="0" x="3195"/>
        <item sd="0" x="3196"/>
        <item sd="0" x="3197"/>
        <item sd="0" x="3198"/>
        <item sd="0" x="3199"/>
        <item sd="0" x="3200"/>
        <item sd="0" x="3201"/>
        <item sd="0" x="3202"/>
        <item sd="0" x="3203"/>
        <item sd="0" x="3204"/>
        <item sd="0" x="3205"/>
        <item sd="0" x="3206"/>
        <item sd="0" x="3207"/>
        <item sd="0" x="3208"/>
        <item sd="0" x="3209"/>
        <item sd="0" x="3210"/>
        <item sd="0" x="3211"/>
        <item sd="0" x="3212"/>
        <item sd="0" x="3213"/>
        <item sd="0" x="3214"/>
        <item sd="0" x="3215"/>
        <item sd="0" x="3216"/>
        <item sd="0" x="3217"/>
        <item sd="0" x="3218"/>
        <item sd="0" x="3219"/>
        <item sd="0" x="3220"/>
        <item sd="0" x="3221"/>
        <item sd="0" x="3222"/>
        <item sd="0" x="3223"/>
        <item sd="0" x="3224"/>
        <item sd="0" x="3225"/>
        <item sd="0" x="3226"/>
        <item sd="0" x="3227"/>
        <item sd="0" x="3228"/>
        <item sd="0" x="3229"/>
        <item sd="0" x="3230"/>
        <item sd="0" x="3231"/>
        <item sd="0" x="3232"/>
        <item sd="0" x="3233"/>
        <item sd="0" x="3234"/>
        <item sd="0" x="3235"/>
        <item sd="0" x="3236"/>
        <item sd="0" x="3237"/>
        <item sd="0" x="3238"/>
        <item sd="0" x="3239"/>
        <item sd="0" x="3240"/>
        <item sd="0" x="3241"/>
        <item sd="0" x="3242"/>
      </items>
    </pivotField>
  </pivotFields>
  <rowFields count="1">
    <field x="2"/>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11"/>
  </colFields>
  <colItems count="13">
    <i>
      <x v="1"/>
    </i>
    <i>
      <x v="2"/>
    </i>
    <i>
      <x v="3"/>
    </i>
    <i>
      <x v="4"/>
    </i>
    <i>
      <x v="5"/>
    </i>
    <i>
      <x v="6"/>
    </i>
    <i>
      <x v="7"/>
    </i>
    <i>
      <x v="8"/>
    </i>
    <i>
      <x v="9"/>
    </i>
    <i>
      <x v="10"/>
    </i>
    <i>
      <x v="11"/>
    </i>
    <i>
      <x v="12"/>
    </i>
    <i t="grand">
      <x/>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638A0C-13B1-48DD-BF4D-B717EF674C04}" name="Table17" displayName="Table17" ref="R3:AK43" totalsRowShown="0">
  <autoFilter ref="R3:AK43" xr:uid="{C9638A0C-13B1-48DD-BF4D-B717EF674C04}"/>
  <sortState xmlns:xlrd2="http://schemas.microsoft.com/office/spreadsheetml/2017/richdata2" ref="R4:AK43">
    <sortCondition ref="R3:R43"/>
  </sortState>
  <tableColumns count="20">
    <tableColumn id="1" xr3:uid="{211CFDF1-CB97-401C-BBF1-BDE97695F0A7}" name="Row Labels"/>
    <tableColumn id="2" xr3:uid="{ED22DCF5-6E77-4782-B3E5-09B209D94D3A}" name="Jan"/>
    <tableColumn id="3" xr3:uid="{EA052497-37EE-41B3-AE86-797D23892F00}" name="Feb"/>
    <tableColumn id="4" xr3:uid="{3DD80009-139F-41D6-AD58-A6ACE32324F8}" name="Mar"/>
    <tableColumn id="5" xr3:uid="{7091FAD9-156F-4F68-A5DD-EC479622CC7A}" name="Apr"/>
    <tableColumn id="6" xr3:uid="{1BF495D9-3CBB-456B-AA2C-FDBB457A0BEA}" name="May"/>
    <tableColumn id="7" xr3:uid="{E081FE06-7E89-419C-B047-680EF8FDB08C}" name="Jun"/>
    <tableColumn id="8" xr3:uid="{56FAE50F-AB98-49F5-907F-36B301CB5710}" name="Jul"/>
    <tableColumn id="9" xr3:uid="{8DFC7D2B-0368-4209-BE2A-54D4B0453F41}" name="Aug"/>
    <tableColumn id="10" xr3:uid="{B1A55A3F-72E7-4837-9864-DFF5122F85C0}" name="Sep"/>
    <tableColumn id="11" xr3:uid="{BCE0C588-1FB8-415A-B885-0BA9386CC18B}" name="Oct"/>
    <tableColumn id="12" xr3:uid="{2105F5D2-958E-4EBC-8D08-39EB5CD9B15E}" name="Nov"/>
    <tableColumn id="13" xr3:uid="{CAF09889-DAD0-47C5-A18A-EB71AE806479}" name="Dec"/>
    <tableColumn id="14" xr3:uid="{ECC49D64-1B10-4BA2-9F6E-0195503EF073}" name="Average Monthly Qty" dataDxfId="10">
      <calculatedColumnFormula>AVERAGE(S4:AD4)</calculatedColumnFormula>
    </tableColumn>
    <tableColumn id="15" xr3:uid="{C2971187-9F60-48B0-824D-0769E625F92F}" name="Std Dev">
      <calculatedColumnFormula>_xlfn.STDEV.P(S4:AD4)</calculatedColumnFormula>
    </tableColumn>
    <tableColumn id="16" xr3:uid="{26DB2A42-2A01-4BFE-A93E-DD72A3AFE2BA}" name="CV">
      <calculatedColumnFormula>AF4/AE4</calculatedColumnFormula>
    </tableColumn>
    <tableColumn id="17" xr3:uid="{BA0E15AB-F61F-4900-8842-F8E88AE0F5F3}" name="CV Flag">
      <calculatedColumnFormula>IF(AG4&gt;0.6, "High",IF(AG4&gt;0.3, "Moderate","Stable"))</calculatedColumnFormula>
    </tableColumn>
    <tableColumn id="18" xr3:uid="{0BC612DD-FF88-45E7-B330-42F74ECC3377}" name="Category">
      <calculatedColumnFormula>_xlfn.XLOOKUP(R4,Table1[SKU_Code],Table1[Category],"Missing")</calculatedColumnFormula>
    </tableColumn>
    <tableColumn id="19" xr3:uid="{371AAA5C-6E74-448A-A186-F7FB1A73FA7D}" name="Slope" dataDxfId="9" dataCellStyle="Neutral">
      <calculatedColumnFormula>SLOPE(Table17[[#This Row],[Jan]:[Dec]], {1,2,3,4,5,6,7,8,9,10,11,12})</calculatedColumnFormula>
    </tableColumn>
    <tableColumn id="20" xr3:uid="{4A2E81B9-546B-40F3-AC00-7A0F09CE33D4}" name="Trend Flag" dataDxfId="8" dataCellStyle="Neutral">
      <calculatedColumnFormula>IF(Table17[[#This Row],[Slope]]&gt;5,"Growing", IF(Table17[[#This Row],[Slope]]&lt;-5,"Declining","Flat"))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CB60A9-1267-44E7-9CBF-B18012907F8C}" name="Table4" displayName="Table4" ref="A1:K1190" totalsRowShown="0" dataCellStyle="Normal">
  <autoFilter ref="A1:K1190" xr:uid="{0BCB60A9-1267-44E7-9CBF-B18012907F8C}"/>
  <tableColumns count="11">
    <tableColumn id="1" xr3:uid="{68916FD3-7C14-4C73-92AD-1BD69CD324BF}" name="Order_ID" dataCellStyle="Normal"/>
    <tableColumn id="2" xr3:uid="{3397CE27-0B2A-4262-BB4F-20E4BF1E635C}" name="SaleDate" dataDxfId="32" dataCellStyle="Normal"/>
    <tableColumn id="3" xr3:uid="{9AEFB023-0930-4421-911A-C70CFE262AE1}" name="SKU_Code" dataCellStyle="Normal"/>
    <tableColumn id="4" xr3:uid="{95837998-53B9-4E7A-8BD9-0D6FC3149B70}" name="Product Name" dataCellStyle="Normal"/>
    <tableColumn id="5" xr3:uid="{C2AA46B6-6FD7-4E8C-9FAC-BABD2F458097}" name="Category" dataCellStyle="Normal"/>
    <tableColumn id="6" xr3:uid="{4DA02EC0-427F-4F46-A9E2-6BF522CAA861}" name="Size" dataCellStyle="Normal"/>
    <tableColumn id="7" xr3:uid="{0FFBB515-FB12-4B5B-86AD-29C333E1AB60}" name="Qty" dataCellStyle="Normal"/>
    <tableColumn id="8" xr3:uid="{2F1929B3-6AD1-4550-8A70-6D12EAAE66C7}" name="UnitPrice_IRR" dataCellStyle="Normal"/>
    <tableColumn id="9" xr3:uid="{1449CD2C-6C68-49A8-B98E-327AAC24E2A1}" name="Discount" dataCellStyle="Normal"/>
    <tableColumn id="10" xr3:uid="{FFA3AF02-7BBA-4FDB-8B27-71DF51BAF8B2}" name="Channel" dataCellStyle="Normal"/>
    <tableColumn id="11" xr3:uid="{B5089970-CE85-4D4C-949D-84221FB945A2}" name="Revenue" dataDxfId="31" dataCellStyle="Comma">
      <calculatedColumnFormula>G2*H2*(1-I2/100)</calculatedColumnFormula>
    </tableColumn>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CBF37D-AFD0-4509-A95E-E694057F09B5}" name="Table1" displayName="Table1" ref="A1:I41" totalsRowShown="0">
  <autoFilter ref="A1:I41" xr:uid="{45CBF37D-AFD0-4509-A95E-E694057F09B5}"/>
  <tableColumns count="9">
    <tableColumn id="1" xr3:uid="{0279E28F-259F-4E36-ABBE-240CFAD2187E}" name="SKU_Code"/>
    <tableColumn id="2" xr3:uid="{D64EA0C5-0081-4795-8F99-DF2444DBA0DE}" name="Product_Name"/>
    <tableColumn id="3" xr3:uid="{24C6232F-EBEC-49BB-8FAB-49B168DAE750}" name="Category"/>
    <tableColumn id="4" xr3:uid="{E53AC08C-9E56-4CC0-B7E4-F7AA2BED3AEA}" name="Colour"/>
    <tableColumn id="5" xr3:uid="{A1823BC7-7C3A-47FE-A375-811C3E808715}" name="Size_Code"/>
    <tableColumn id="6" xr3:uid="{3672CEA9-3CF4-4191-9187-FEB163714FD2}" name="Cost_IRR"/>
    <tableColumn id="7" xr3:uid="{36F84E04-CBD8-4231-8D06-3F20ED08F090}" name="RRP_IRR"/>
    <tableColumn id="8" xr3:uid="{955AC190-CDBB-47B5-85A5-C1E0E7FC720F}" name="Vendor_Name"/>
    <tableColumn id="9" xr3:uid="{BFADDE0E-6DB5-4037-BBF0-AF66AA73ACFA}" name="Item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4D261C-BF1E-4470-9B7D-AAA41FECE9BA}" name="Table2" displayName="Table2" ref="A1:H41" totalsRowShown="0">
  <autoFilter ref="A1:H41" xr:uid="{2E4D261C-BF1E-4470-9B7D-AAA41FECE9BA}"/>
  <tableColumns count="8">
    <tableColumn id="1" xr3:uid="{6D527104-B654-45CF-8A98-C1D5C27DCBB6}" name="SKU_Code"/>
    <tableColumn id="2" xr3:uid="{918A8818-1D51-4C78-B382-5B05318C41AA}" name="Ordered_Qty"/>
    <tableColumn id="3" xr3:uid="{D7679B7D-E14A-4B31-8868-7C2D2871182E}" name="Received_Qty"/>
    <tableColumn id="4" xr3:uid="{A6809B31-F67C-48F6-AC63-66E1CF8891F7}" name="Receipt_Date" dataDxfId="7"/>
    <tableColumn id="5" xr3:uid="{4D5D663C-0292-44FD-A246-808D274FF098}" name="Units_On_Hand"/>
    <tableColumn id="6" xr3:uid="{CF7AF6DD-308C-4973-A7C3-33220B824795}" name="Reorder_Lvl"/>
    <tableColumn id="7" xr3:uid="{D9BBF0E0-773B-4B4F-AD24-ED119DC20ED1}" name="Storage_Location"/>
    <tableColumn id="8" xr3:uid="{474AC44D-3F1C-40C9-B74A-7D444CC41F8C}" name="Note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75E0E4-09FE-4648-9ADB-E39B86F19CA8}" name="Table12" displayName="Table12" ref="A1:E20" totalsRowShown="0" headerRowDxfId="19" dataDxfId="20" headerRowBorderDxfId="27" tableBorderDxfId="28" totalsRowBorderDxfId="26">
  <autoFilter ref="A1:E20" xr:uid="{CB75E0E4-09FE-4648-9ADB-E39B86F19CA8}"/>
  <tableColumns count="5">
    <tableColumn id="1" xr3:uid="{FC75AA6A-5463-454D-9D9A-B0260EB1A192}" name="#" dataDxfId="25"/>
    <tableColumn id="2" xr3:uid="{60DA81AB-C403-494E-A1DB-8DA031715898}" name="Chapter" dataDxfId="24"/>
    <tableColumn id="3" xr3:uid="{6E635E04-F53C-4B7A-9EDD-8ED85367CC00}" name="What I Found" dataDxfId="23"/>
    <tableColumn id="4" xr3:uid="{9E71E987-7F69-4342-B932-8A553354CC11}" name="Why It Happened" dataDxfId="22"/>
    <tableColumn id="5" xr3:uid="{697F1BF0-D4EB-4219-9C16-851384059F1D}" name="Action Taken" data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1C6E-1C8C-4E44-AD0E-FDDA351AE85B}">
  <dimension ref="B2:F16"/>
  <sheetViews>
    <sheetView showGridLines="0" zoomScale="90" zoomScaleNormal="90" workbookViewId="0">
      <selection activeCell="T4" sqref="T4"/>
    </sheetView>
  </sheetViews>
  <sheetFormatPr defaultRowHeight="14.25"/>
  <cols>
    <col min="1" max="2" width="12.46484375" bestFit="1" customWidth="1"/>
    <col min="3" max="3" width="14.33203125" bestFit="1" customWidth="1"/>
    <col min="4" max="4" width="15.9296875" bestFit="1" customWidth="1"/>
    <col min="5" max="5" width="9.9296875" bestFit="1" customWidth="1"/>
  </cols>
  <sheetData>
    <row r="2" spans="2:6" ht="101.25" customHeight="1">
      <c r="B2" s="19" t="s">
        <v>1396</v>
      </c>
      <c r="C2" s="20"/>
      <c r="D2" s="20"/>
      <c r="E2" s="20"/>
      <c r="F2" s="20"/>
    </row>
    <row r="3" spans="2:6">
      <c r="B3" s="10" t="s">
        <v>1379</v>
      </c>
      <c r="C3" t="s">
        <v>1381</v>
      </c>
      <c r="D3" t="s">
        <v>1394</v>
      </c>
      <c r="E3" t="s">
        <v>1395</v>
      </c>
    </row>
    <row r="4" spans="2:6">
      <c r="B4" s="11" t="s">
        <v>1382</v>
      </c>
      <c r="C4" s="15">
        <v>40415250</v>
      </c>
      <c r="D4" s="12">
        <v>65</v>
      </c>
      <c r="E4" s="12">
        <v>138</v>
      </c>
    </row>
    <row r="5" spans="2:6">
      <c r="B5" s="11" t="s">
        <v>1383</v>
      </c>
      <c r="C5" s="15">
        <v>31895200</v>
      </c>
      <c r="D5" s="12">
        <v>68</v>
      </c>
      <c r="E5" s="12">
        <v>124</v>
      </c>
    </row>
    <row r="6" spans="2:6">
      <c r="B6" s="11" t="s">
        <v>1384</v>
      </c>
      <c r="C6" s="15">
        <v>83066250</v>
      </c>
      <c r="D6" s="12">
        <v>164</v>
      </c>
      <c r="E6" s="12">
        <v>302</v>
      </c>
    </row>
    <row r="7" spans="2:6">
      <c r="B7" s="11" t="s">
        <v>1385</v>
      </c>
      <c r="C7" s="15">
        <v>41159750</v>
      </c>
      <c r="D7" s="12">
        <v>90</v>
      </c>
      <c r="E7" s="12">
        <v>149</v>
      </c>
    </row>
    <row r="8" spans="2:6">
      <c r="B8" s="11" t="s">
        <v>1386</v>
      </c>
      <c r="C8" s="15">
        <v>32219750</v>
      </c>
      <c r="D8" s="12">
        <v>75</v>
      </c>
      <c r="E8" s="12">
        <v>125</v>
      </c>
    </row>
    <row r="9" spans="2:6">
      <c r="B9" s="11" t="s">
        <v>1387</v>
      </c>
      <c r="C9" s="15">
        <v>45394750</v>
      </c>
      <c r="D9" s="12">
        <v>89</v>
      </c>
      <c r="E9" s="12">
        <v>171</v>
      </c>
    </row>
    <row r="10" spans="2:6">
      <c r="B10" s="11" t="s">
        <v>1388</v>
      </c>
      <c r="C10" s="15">
        <v>50704600</v>
      </c>
      <c r="D10" s="12">
        <v>111</v>
      </c>
      <c r="E10" s="12">
        <v>189</v>
      </c>
    </row>
    <row r="11" spans="2:6">
      <c r="B11" s="11" t="s">
        <v>1389</v>
      </c>
      <c r="C11" s="15">
        <v>25137150</v>
      </c>
      <c r="D11" s="12">
        <v>55</v>
      </c>
      <c r="E11" s="12">
        <v>110</v>
      </c>
    </row>
    <row r="12" spans="2:6">
      <c r="B12" s="11" t="s">
        <v>1390</v>
      </c>
      <c r="C12" s="15">
        <v>56522300</v>
      </c>
      <c r="D12" s="12">
        <v>109</v>
      </c>
      <c r="E12" s="12">
        <v>218</v>
      </c>
    </row>
    <row r="13" spans="2:6">
      <c r="B13" s="11" t="s">
        <v>1391</v>
      </c>
      <c r="C13" s="15">
        <v>52349700</v>
      </c>
      <c r="D13" s="12">
        <v>99</v>
      </c>
      <c r="E13" s="12">
        <v>188</v>
      </c>
    </row>
    <row r="14" spans="2:6">
      <c r="B14" s="11" t="s">
        <v>1392</v>
      </c>
      <c r="C14" s="15">
        <v>68497050</v>
      </c>
      <c r="D14" s="12">
        <v>119</v>
      </c>
      <c r="E14" s="12">
        <v>239</v>
      </c>
    </row>
    <row r="15" spans="2:6">
      <c r="B15" s="11" t="s">
        <v>1393</v>
      </c>
      <c r="C15" s="15">
        <v>66352550</v>
      </c>
      <c r="D15" s="12">
        <v>145</v>
      </c>
      <c r="E15" s="12">
        <v>248</v>
      </c>
    </row>
    <row r="16" spans="2:6">
      <c r="B16" s="11" t="s">
        <v>1380</v>
      </c>
      <c r="C16" s="12">
        <v>593714300</v>
      </c>
      <c r="D16" s="12">
        <v>1189</v>
      </c>
      <c r="E16" s="12">
        <v>2201</v>
      </c>
    </row>
  </sheetData>
  <mergeCells count="1">
    <mergeCell ref="B2:F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7D43-BBF8-4BD4-ACC6-D4A53BD6BDA5}">
  <dimension ref="B5:U23"/>
  <sheetViews>
    <sheetView showGridLines="0" topLeftCell="C3" zoomScale="80" zoomScaleNormal="80" workbookViewId="0">
      <selection activeCell="AA16" sqref="AA16"/>
    </sheetView>
  </sheetViews>
  <sheetFormatPr defaultRowHeight="14.25"/>
  <cols>
    <col min="1" max="2" width="12.33203125" bestFit="1" customWidth="1"/>
    <col min="3" max="3" width="14.59765625" bestFit="1" customWidth="1"/>
    <col min="4" max="4" width="12.265625" customWidth="1"/>
    <col min="21" max="21" width="14.59765625" bestFit="1" customWidth="1"/>
  </cols>
  <sheetData>
    <row r="5" spans="2:21" ht="1.5" customHeight="1">
      <c r="B5" s="37" t="s">
        <v>1399</v>
      </c>
      <c r="C5" s="36"/>
      <c r="D5" s="36"/>
    </row>
    <row r="6" spans="2:21" ht="55.5" customHeight="1">
      <c r="B6" s="36"/>
      <c r="C6" s="36"/>
      <c r="D6" s="36"/>
    </row>
    <row r="7" spans="2:21">
      <c r="B7" s="36"/>
      <c r="C7" s="36"/>
      <c r="D7" s="36"/>
    </row>
    <row r="8" spans="2:21">
      <c r="B8" s="36"/>
      <c r="C8" s="36"/>
      <c r="D8" s="36"/>
      <c r="T8" t="s">
        <v>11</v>
      </c>
      <c r="U8" s="13">
        <v>193451000</v>
      </c>
    </row>
    <row r="9" spans="2:21">
      <c r="B9" s="36"/>
      <c r="C9" s="36"/>
      <c r="D9" s="36"/>
      <c r="T9" t="s">
        <v>29</v>
      </c>
      <c r="U9" s="13">
        <v>110068750</v>
      </c>
    </row>
    <row r="10" spans="2:21">
      <c r="T10" t="s">
        <v>66</v>
      </c>
      <c r="U10" s="13">
        <v>76313750</v>
      </c>
    </row>
    <row r="11" spans="2:21">
      <c r="B11" s="10" t="s">
        <v>1379</v>
      </c>
      <c r="C11" t="s">
        <v>1381</v>
      </c>
      <c r="D11" t="s">
        <v>1395</v>
      </c>
      <c r="T11" t="s">
        <v>20</v>
      </c>
      <c r="U11" s="13">
        <v>53918500</v>
      </c>
    </row>
    <row r="12" spans="2:21">
      <c r="B12" s="11" t="s">
        <v>11</v>
      </c>
      <c r="C12" s="15">
        <v>193451000</v>
      </c>
      <c r="D12" s="12">
        <v>466</v>
      </c>
      <c r="T12" t="s">
        <v>84</v>
      </c>
      <c r="U12" s="13">
        <v>49078750</v>
      </c>
    </row>
    <row r="13" spans="2:21">
      <c r="B13" s="11" t="s">
        <v>29</v>
      </c>
      <c r="C13" s="15">
        <v>110068750</v>
      </c>
      <c r="D13" s="12">
        <v>518</v>
      </c>
      <c r="T13" t="s">
        <v>36</v>
      </c>
      <c r="U13" s="13">
        <v>28173300</v>
      </c>
    </row>
    <row r="14" spans="2:21">
      <c r="B14" s="11" t="s">
        <v>66</v>
      </c>
      <c r="C14" s="15">
        <v>76313750</v>
      </c>
      <c r="D14" s="12">
        <v>251</v>
      </c>
      <c r="T14" t="s">
        <v>40</v>
      </c>
      <c r="U14" s="13">
        <v>25104000</v>
      </c>
    </row>
    <row r="15" spans="2:21">
      <c r="B15" s="11" t="s">
        <v>20</v>
      </c>
      <c r="C15" s="15">
        <v>53918500</v>
      </c>
      <c r="D15" s="12">
        <v>206</v>
      </c>
      <c r="T15" t="s">
        <v>57</v>
      </c>
      <c r="U15" s="13">
        <v>19661250</v>
      </c>
    </row>
    <row r="16" spans="2:21">
      <c r="B16" s="11" t="s">
        <v>84</v>
      </c>
      <c r="C16" s="15">
        <v>49078750</v>
      </c>
      <c r="D16" s="12">
        <v>129</v>
      </c>
      <c r="T16" t="s">
        <v>98</v>
      </c>
      <c r="U16" s="13">
        <v>18708500</v>
      </c>
    </row>
    <row r="17" spans="2:21">
      <c r="B17" s="11" t="s">
        <v>36</v>
      </c>
      <c r="C17" s="15">
        <v>28173300</v>
      </c>
      <c r="D17" s="12">
        <v>148</v>
      </c>
      <c r="T17" t="s">
        <v>124</v>
      </c>
      <c r="U17" s="13">
        <v>11001000</v>
      </c>
    </row>
    <row r="18" spans="2:21">
      <c r="B18" s="11" t="s">
        <v>40</v>
      </c>
      <c r="C18" s="15">
        <v>25104000</v>
      </c>
      <c r="D18" s="12">
        <v>80</v>
      </c>
      <c r="T18" t="s">
        <v>25</v>
      </c>
      <c r="U18" s="13">
        <v>8235500</v>
      </c>
    </row>
    <row r="19" spans="2:21">
      <c r="B19" s="11" t="s">
        <v>57</v>
      </c>
      <c r="C19" s="15">
        <v>19661250</v>
      </c>
      <c r="D19" s="12">
        <v>193</v>
      </c>
    </row>
    <row r="20" spans="2:21">
      <c r="B20" s="11" t="s">
        <v>98</v>
      </c>
      <c r="C20" s="15">
        <v>18708500</v>
      </c>
      <c r="D20" s="12">
        <v>113</v>
      </c>
    </row>
    <row r="21" spans="2:21">
      <c r="B21" s="11" t="s">
        <v>124</v>
      </c>
      <c r="C21" s="15">
        <v>11001000</v>
      </c>
      <c r="D21" s="12">
        <v>50</v>
      </c>
    </row>
    <row r="22" spans="2:21">
      <c r="B22" s="11" t="s">
        <v>25</v>
      </c>
      <c r="C22" s="15">
        <v>8235500</v>
      </c>
      <c r="D22" s="12">
        <v>47</v>
      </c>
    </row>
    <row r="23" spans="2:21">
      <c r="B23" s="11" t="s">
        <v>1380</v>
      </c>
      <c r="C23" s="15">
        <v>593714300</v>
      </c>
      <c r="D23" s="15">
        <v>2201</v>
      </c>
    </row>
  </sheetData>
  <mergeCells count="1">
    <mergeCell ref="B5:D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2160A-742C-4B64-9F47-5F2F82F09726}">
  <dimension ref="A1:G11"/>
  <sheetViews>
    <sheetView showGridLines="0" workbookViewId="0">
      <selection activeCell="R1" sqref="R1"/>
    </sheetView>
  </sheetViews>
  <sheetFormatPr defaultRowHeight="14.25"/>
  <cols>
    <col min="1" max="1" width="12.33203125" bestFit="1" customWidth="1"/>
    <col min="2" max="2" width="23.796875" bestFit="1" customWidth="1"/>
    <col min="3" max="3" width="15.796875" style="14" bestFit="1" customWidth="1"/>
  </cols>
  <sheetData>
    <row r="1" spans="1:7">
      <c r="C1" s="39" t="s">
        <v>1400</v>
      </c>
      <c r="D1" s="40"/>
      <c r="E1" s="40"/>
      <c r="F1" s="40"/>
      <c r="G1" s="40"/>
    </row>
    <row r="2" spans="1:7">
      <c r="A2" s="35"/>
      <c r="C2" s="40"/>
      <c r="D2" s="40"/>
      <c r="E2" s="40"/>
      <c r="F2" s="40"/>
      <c r="G2" s="40"/>
    </row>
    <row r="3" spans="1:7">
      <c r="C3" s="40"/>
      <c r="D3" s="40"/>
      <c r="E3" s="40"/>
      <c r="F3" s="40"/>
      <c r="G3" s="40"/>
    </row>
    <row r="5" spans="1:7">
      <c r="B5" s="10" t="s">
        <v>1379</v>
      </c>
      <c r="C5" s="38" t="s">
        <v>1381</v>
      </c>
    </row>
    <row r="6" spans="1:7">
      <c r="B6" s="11" t="s">
        <v>16</v>
      </c>
      <c r="C6" s="38">
        <v>233673800</v>
      </c>
    </row>
    <row r="7" spans="1:7">
      <c r="B7" s="11" t="s">
        <v>13</v>
      </c>
      <c r="C7" s="38">
        <v>171736900</v>
      </c>
    </row>
    <row r="8" spans="1:7">
      <c r="B8" s="11" t="s">
        <v>71</v>
      </c>
      <c r="C8" s="38">
        <v>94536600</v>
      </c>
    </row>
    <row r="9" spans="1:7">
      <c r="B9" s="11" t="s">
        <v>41</v>
      </c>
      <c r="C9" s="38">
        <v>68506800</v>
      </c>
    </row>
    <row r="10" spans="1:7">
      <c r="B10" s="11" t="s">
        <v>1380</v>
      </c>
      <c r="C10" s="38">
        <v>568454100</v>
      </c>
    </row>
    <row r="11" spans="1:7">
      <c r="C11"/>
    </row>
  </sheetData>
  <mergeCells count="1">
    <mergeCell ref="C1:G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25DB9-E934-4610-BAEB-89139FB18566}">
  <dimension ref="B2:P19"/>
  <sheetViews>
    <sheetView showGridLines="0" tabSelected="1" zoomScale="106" zoomScaleNormal="106" workbookViewId="0">
      <selection activeCell="U1" sqref="U1"/>
    </sheetView>
  </sheetViews>
  <sheetFormatPr defaultRowHeight="14.25"/>
  <cols>
    <col min="1" max="1" width="19.3984375" bestFit="1" customWidth="1"/>
    <col min="2" max="2" width="16.46484375" style="14" customWidth="1"/>
    <col min="3" max="3" width="19" bestFit="1" customWidth="1"/>
    <col min="4" max="4" width="16.19921875" bestFit="1" customWidth="1"/>
    <col min="5" max="5" width="10.46484375" bestFit="1" customWidth="1"/>
    <col min="15" max="15" width="17.33203125" customWidth="1"/>
    <col min="16" max="16" width="13.796875" bestFit="1" customWidth="1"/>
  </cols>
  <sheetData>
    <row r="2" spans="3:16">
      <c r="D2" s="42" t="s">
        <v>1401</v>
      </c>
      <c r="E2" s="17"/>
      <c r="F2" s="17"/>
      <c r="G2" s="17"/>
      <c r="H2" s="17"/>
      <c r="I2" s="17"/>
    </row>
    <row r="3" spans="3:16">
      <c r="D3" s="17"/>
      <c r="E3" s="17"/>
      <c r="F3" s="17"/>
      <c r="G3" s="17"/>
      <c r="H3" s="17"/>
      <c r="I3" s="17"/>
      <c r="J3" s="41"/>
    </row>
    <row r="4" spans="3:16">
      <c r="D4" s="17"/>
      <c r="E4" s="17"/>
      <c r="F4" s="17"/>
      <c r="G4" s="17"/>
      <c r="H4" s="17"/>
      <c r="I4" s="17"/>
      <c r="J4" s="41"/>
    </row>
    <row r="5" spans="3:16">
      <c r="D5" s="41"/>
      <c r="E5" s="41"/>
      <c r="F5" s="41"/>
      <c r="G5" s="41"/>
      <c r="H5" s="41"/>
      <c r="I5" s="41"/>
      <c r="J5" s="41"/>
    </row>
    <row r="8" spans="3:16">
      <c r="C8" s="10" t="s">
        <v>1379</v>
      </c>
      <c r="D8" s="38" t="s">
        <v>1381</v>
      </c>
      <c r="E8" t="s">
        <v>1395</v>
      </c>
    </row>
    <row r="9" spans="3:16">
      <c r="C9" s="11" t="s">
        <v>10</v>
      </c>
      <c r="D9" s="38">
        <v>69678000</v>
      </c>
      <c r="E9" s="12">
        <v>172</v>
      </c>
    </row>
    <row r="10" spans="3:16">
      <c r="C10" s="11" t="s">
        <v>102</v>
      </c>
      <c r="D10" s="38">
        <v>51621500</v>
      </c>
      <c r="E10" s="12">
        <v>124</v>
      </c>
      <c r="O10" t="s">
        <v>10</v>
      </c>
      <c r="P10" s="13">
        <v>69678000</v>
      </c>
    </row>
    <row r="11" spans="3:16">
      <c r="C11" s="11" t="s">
        <v>120</v>
      </c>
      <c r="D11" s="38">
        <v>50094000</v>
      </c>
      <c r="E11" s="12">
        <v>117</v>
      </c>
      <c r="O11" t="s">
        <v>102</v>
      </c>
      <c r="P11" s="13">
        <v>51621500</v>
      </c>
    </row>
    <row r="12" spans="3:16">
      <c r="C12" s="11" t="s">
        <v>83</v>
      </c>
      <c r="D12" s="38">
        <v>49078750</v>
      </c>
      <c r="E12" s="12">
        <v>129</v>
      </c>
      <c r="O12" t="s">
        <v>120</v>
      </c>
      <c r="P12" s="13">
        <v>50094000</v>
      </c>
    </row>
    <row r="13" spans="3:16">
      <c r="C13" s="11" t="s">
        <v>50</v>
      </c>
      <c r="D13" s="38">
        <v>40513000</v>
      </c>
      <c r="E13" s="12">
        <v>190</v>
      </c>
      <c r="O13" t="s">
        <v>83</v>
      </c>
      <c r="P13" s="13">
        <v>49078750</v>
      </c>
    </row>
    <row r="14" spans="3:16">
      <c r="C14" s="11" t="s">
        <v>32</v>
      </c>
      <c r="D14" s="38">
        <v>27563000</v>
      </c>
      <c r="E14" s="12">
        <v>132</v>
      </c>
      <c r="O14" t="s">
        <v>50</v>
      </c>
      <c r="P14" s="13">
        <v>40513000</v>
      </c>
    </row>
    <row r="15" spans="3:16">
      <c r="C15" s="11" t="s">
        <v>65</v>
      </c>
      <c r="D15" s="38">
        <v>27494000</v>
      </c>
      <c r="E15" s="12">
        <v>96</v>
      </c>
      <c r="O15" t="s">
        <v>32</v>
      </c>
      <c r="P15" s="13">
        <v>27563000</v>
      </c>
    </row>
    <row r="16" spans="3:16">
      <c r="C16" s="11" t="s">
        <v>39</v>
      </c>
      <c r="D16" s="38">
        <v>25104000</v>
      </c>
      <c r="E16" s="12">
        <v>80</v>
      </c>
      <c r="O16" t="s">
        <v>65</v>
      </c>
      <c r="P16" s="13">
        <v>27494000</v>
      </c>
    </row>
    <row r="17" spans="3:16">
      <c r="C17" s="11" t="s">
        <v>61</v>
      </c>
      <c r="D17" s="38">
        <v>25012000</v>
      </c>
      <c r="E17" s="12">
        <v>98</v>
      </c>
      <c r="O17" t="s">
        <v>39</v>
      </c>
      <c r="P17" s="13">
        <v>25104000</v>
      </c>
    </row>
    <row r="18" spans="3:16">
      <c r="C18" s="11" t="s">
        <v>91</v>
      </c>
      <c r="D18" s="38">
        <v>22057500</v>
      </c>
      <c r="E18" s="12">
        <v>53</v>
      </c>
      <c r="O18" t="s">
        <v>61</v>
      </c>
      <c r="P18" s="13">
        <v>25012000</v>
      </c>
    </row>
    <row r="19" spans="3:16">
      <c r="C19" s="11" t="s">
        <v>1380</v>
      </c>
      <c r="D19" s="38">
        <v>388215750</v>
      </c>
      <c r="E19" s="12">
        <v>1191</v>
      </c>
      <c r="O19" t="s">
        <v>91</v>
      </c>
      <c r="P19" s="13">
        <v>22057500</v>
      </c>
    </row>
  </sheetData>
  <mergeCells count="1">
    <mergeCell ref="D2:I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D87C-0ED9-4607-BFF4-F5CA11834234}">
  <dimension ref="B2:AO44"/>
  <sheetViews>
    <sheetView zoomScale="80" zoomScaleNormal="80" workbookViewId="0">
      <selection activeCell="AP24" sqref="AP24"/>
    </sheetView>
  </sheetViews>
  <sheetFormatPr defaultRowHeight="14.25"/>
  <cols>
    <col min="2" max="2" width="12.33203125" bestFit="1" customWidth="1"/>
    <col min="3" max="3" width="15.265625" bestFit="1" customWidth="1"/>
    <col min="4" max="4" width="3.9296875" bestFit="1" customWidth="1"/>
    <col min="5" max="5" width="4.19921875" bestFit="1" customWidth="1"/>
    <col min="6" max="6" width="3.796875" bestFit="1" customWidth="1"/>
    <col min="7" max="7" width="4.46484375" bestFit="1" customWidth="1"/>
    <col min="8" max="9" width="3.73046875" bestFit="1" customWidth="1"/>
    <col min="10" max="10" width="4.06640625" bestFit="1" customWidth="1"/>
    <col min="11" max="11" width="3.9296875" bestFit="1" customWidth="1"/>
    <col min="12" max="12" width="3.73046875" bestFit="1" customWidth="1"/>
    <col min="13" max="13" width="4.19921875" bestFit="1" customWidth="1"/>
    <col min="14" max="14" width="3.9296875" bestFit="1" customWidth="1"/>
    <col min="15" max="15" width="10.46484375" bestFit="1" customWidth="1"/>
    <col min="16" max="17" width="9.9296875" bestFit="1" customWidth="1"/>
    <col min="18" max="18" width="12" customWidth="1"/>
    <col min="19" max="30" width="9.9296875" bestFit="1" customWidth="1"/>
    <col min="31" max="31" width="22.265625" customWidth="1"/>
    <col min="32" max="32" width="11.6640625" customWidth="1"/>
    <col min="33" max="33" width="15.3984375" customWidth="1"/>
    <col min="34" max="34" width="14.86328125" customWidth="1"/>
    <col min="35" max="35" width="14" customWidth="1"/>
    <col min="36" max="36" width="14.1328125" customWidth="1"/>
    <col min="37" max="37" width="14.3984375" customWidth="1"/>
    <col min="38" max="38" width="9.9296875" bestFit="1" customWidth="1"/>
    <col min="39" max="39" width="12.19921875" customWidth="1"/>
    <col min="40" max="40" width="9.9296875" customWidth="1"/>
    <col min="41" max="345" width="9.9296875" bestFit="1" customWidth="1"/>
    <col min="346" max="346" width="10.46484375" bestFit="1" customWidth="1"/>
  </cols>
  <sheetData>
    <row r="2" spans="2:41">
      <c r="B2" s="10" t="s">
        <v>1395</v>
      </c>
      <c r="C2" s="10" t="s">
        <v>1402</v>
      </c>
    </row>
    <row r="3" spans="2:41">
      <c r="B3" s="10" t="s">
        <v>1379</v>
      </c>
      <c r="C3" t="s">
        <v>1382</v>
      </c>
      <c r="D3" t="s">
        <v>1383</v>
      </c>
      <c r="E3" t="s">
        <v>1384</v>
      </c>
      <c r="F3" t="s">
        <v>1385</v>
      </c>
      <c r="G3" t="s">
        <v>1386</v>
      </c>
      <c r="H3" t="s">
        <v>1387</v>
      </c>
      <c r="I3" t="s">
        <v>1388</v>
      </c>
      <c r="J3" t="s">
        <v>1389</v>
      </c>
      <c r="K3" t="s">
        <v>1390</v>
      </c>
      <c r="L3" t="s">
        <v>1391</v>
      </c>
      <c r="M3" t="s">
        <v>1392</v>
      </c>
      <c r="N3" t="s">
        <v>1393</v>
      </c>
      <c r="O3" t="s">
        <v>1380</v>
      </c>
      <c r="R3" t="s">
        <v>1379</v>
      </c>
      <c r="S3" t="s">
        <v>1382</v>
      </c>
      <c r="T3" t="s">
        <v>1383</v>
      </c>
      <c r="U3" t="s">
        <v>1384</v>
      </c>
      <c r="V3" t="s">
        <v>1385</v>
      </c>
      <c r="W3" t="s">
        <v>1386</v>
      </c>
      <c r="X3" t="s">
        <v>1387</v>
      </c>
      <c r="Y3" t="s">
        <v>1388</v>
      </c>
      <c r="Z3" t="s">
        <v>1389</v>
      </c>
      <c r="AA3" t="s">
        <v>1390</v>
      </c>
      <c r="AB3" t="s">
        <v>1391</v>
      </c>
      <c r="AC3" t="s">
        <v>1392</v>
      </c>
      <c r="AD3" t="s">
        <v>1393</v>
      </c>
      <c r="AE3" t="s">
        <v>1403</v>
      </c>
      <c r="AF3" t="s">
        <v>1404</v>
      </c>
      <c r="AG3" t="s">
        <v>1405</v>
      </c>
      <c r="AH3" t="s">
        <v>1406</v>
      </c>
      <c r="AI3" t="s">
        <v>3</v>
      </c>
      <c r="AJ3" s="48" t="s">
        <v>1465</v>
      </c>
      <c r="AK3" s="48" t="s">
        <v>1466</v>
      </c>
      <c r="AM3" s="5" t="s">
        <v>3</v>
      </c>
      <c r="AN3" s="5" t="s">
        <v>1410</v>
      </c>
      <c r="AO3" s="5" t="s">
        <v>1411</v>
      </c>
    </row>
    <row r="4" spans="2:41">
      <c r="B4" s="11" t="s">
        <v>88</v>
      </c>
      <c r="C4" s="12">
        <v>1</v>
      </c>
      <c r="D4" s="12">
        <v>3</v>
      </c>
      <c r="E4" s="12">
        <v>9</v>
      </c>
      <c r="F4" s="12">
        <v>5</v>
      </c>
      <c r="G4" s="12">
        <v>1</v>
      </c>
      <c r="H4" s="12">
        <v>7</v>
      </c>
      <c r="I4" s="12">
        <v>3</v>
      </c>
      <c r="J4" s="12"/>
      <c r="K4" s="12">
        <v>5</v>
      </c>
      <c r="L4" s="12">
        <v>4</v>
      </c>
      <c r="M4" s="12">
        <v>1</v>
      </c>
      <c r="N4" s="12">
        <v>2</v>
      </c>
      <c r="O4" s="12">
        <v>41</v>
      </c>
      <c r="R4" t="s">
        <v>88</v>
      </c>
      <c r="S4">
        <v>1</v>
      </c>
      <c r="T4">
        <v>3</v>
      </c>
      <c r="U4">
        <v>9</v>
      </c>
      <c r="V4">
        <v>5</v>
      </c>
      <c r="W4">
        <v>1</v>
      </c>
      <c r="X4">
        <v>7</v>
      </c>
      <c r="Y4">
        <v>3</v>
      </c>
      <c r="AA4">
        <v>5</v>
      </c>
      <c r="AB4">
        <v>4</v>
      </c>
      <c r="AC4">
        <v>1</v>
      </c>
      <c r="AD4">
        <v>2</v>
      </c>
      <c r="AE4" s="3">
        <f>AVERAGE(S4:AD4)</f>
        <v>3.7272727272727271</v>
      </c>
      <c r="AF4">
        <f>_xlfn.STDEV.P(S4:AD4)</f>
        <v>2.4896479886598462</v>
      </c>
      <c r="AG4">
        <f>AF4/AE4</f>
        <v>0.66795433842093432</v>
      </c>
      <c r="AH4" t="str">
        <f>IF(AG4&gt;0.6, "High",IF(AG4&gt;0.3, "Moderate","Stable"))</f>
        <v>High</v>
      </c>
      <c r="AI4" t="str">
        <f>_xlfn.XLOOKUP(R4,Table1[SKU_Code],Table1[Category],"Missing")</f>
        <v>Co-ord Sets</v>
      </c>
      <c r="AJ4" s="48">
        <f>SLOPE(Table17[[#This Row],[Jan]:[Dec]], {1,2,3,4,5,6,7,8,9,10,11,12})</f>
        <v>-0.13454075032341523</v>
      </c>
      <c r="AK4" s="48" t="str">
        <f>IF(Table17[[#This Row],[Slope]]&gt;5,"Growing", IF(Table17[[#This Row],[Slope]]&lt;-5,"Declining","Flat"))</f>
        <v>Flat</v>
      </c>
      <c r="AM4" t="str" cm="1">
        <f t="array" ref="AM4:AM14">_xlfn.UNIQUE(Table17[Category])</f>
        <v>Co-ord Sets</v>
      </c>
      <c r="AN4">
        <f>AVERAGEIF(Table17[Category],AM4,Table17[CV])</f>
        <v>0.65747489039679496</v>
      </c>
      <c r="AO4">
        <f>COUNTIFS(Table17[Category],AM4,Table17[CV Flag],"High")</f>
        <v>6</v>
      </c>
    </row>
    <row r="5" spans="2:41">
      <c r="B5" s="11" t="s">
        <v>215</v>
      </c>
      <c r="C5" s="12">
        <v>2</v>
      </c>
      <c r="D5" s="12">
        <v>6</v>
      </c>
      <c r="E5" s="12">
        <v>11</v>
      </c>
      <c r="F5" s="12">
        <v>1</v>
      </c>
      <c r="G5" s="12">
        <v>10</v>
      </c>
      <c r="H5" s="12">
        <v>-1</v>
      </c>
      <c r="I5" s="12">
        <v>5</v>
      </c>
      <c r="J5" s="12">
        <v>2</v>
      </c>
      <c r="K5" s="12">
        <v>5</v>
      </c>
      <c r="L5" s="12">
        <v>11</v>
      </c>
      <c r="M5" s="12">
        <v>12</v>
      </c>
      <c r="N5" s="12">
        <v>5</v>
      </c>
      <c r="O5" s="12">
        <v>69</v>
      </c>
      <c r="R5" t="s">
        <v>215</v>
      </c>
      <c r="S5">
        <v>2</v>
      </c>
      <c r="T5">
        <v>6</v>
      </c>
      <c r="U5">
        <v>11</v>
      </c>
      <c r="V5">
        <v>1</v>
      </c>
      <c r="W5">
        <v>10</v>
      </c>
      <c r="X5">
        <v>-1</v>
      </c>
      <c r="Y5">
        <v>5</v>
      </c>
      <c r="Z5">
        <v>2</v>
      </c>
      <c r="AA5">
        <v>5</v>
      </c>
      <c r="AB5">
        <v>11</v>
      </c>
      <c r="AC5">
        <v>12</v>
      </c>
      <c r="AD5">
        <v>5</v>
      </c>
      <c r="AE5" s="3">
        <f>AVERAGE(S5:AD5)</f>
        <v>5.75</v>
      </c>
      <c r="AF5">
        <f>_xlfn.STDEV.P(S5:AD5)</f>
        <v>4.1857894516247862</v>
      </c>
      <c r="AG5">
        <f>AF5/AE5</f>
        <v>0.72796338289126716</v>
      </c>
      <c r="AH5" t="str">
        <f>IF(AG5&gt;0.6, "High",IF(AG5&gt;0.3, "Moderate","Stable"))</f>
        <v>High</v>
      </c>
      <c r="AI5" t="str">
        <f>_xlfn.XLOOKUP(R5,Table1[SKU_Code],Table1[Category],"Missing")</f>
        <v>Co-ord Sets</v>
      </c>
      <c r="AJ5" s="48">
        <f>SLOPE(Table17[[#This Row],[Jan]:[Dec]], {1,2,3,4,5,6,7,8,9,10,11,12})</f>
        <v>0.3111888111888112</v>
      </c>
      <c r="AK5" s="48" t="str">
        <f>IF(Table17[[#This Row],[Slope]]&gt;5,"Growing", IF(Table17[[#This Row],[Slope]]&lt;-5,"Declining","Flat"))</f>
        <v>Flat</v>
      </c>
      <c r="AM5" t="str">
        <v>Sweatshirts</v>
      </c>
      <c r="AN5">
        <f>AVERAGEIF(Table17[Category],AM5,Table17[CV])</f>
        <v>0.75941828982010795</v>
      </c>
      <c r="AO5">
        <f>COUNTIFS(Table17[Category],AM5,Table17[CV Flag],"High")</f>
        <v>6</v>
      </c>
    </row>
    <row r="6" spans="2:41">
      <c r="B6" s="11" t="s">
        <v>15</v>
      </c>
      <c r="C6" s="12"/>
      <c r="D6" s="12">
        <v>5</v>
      </c>
      <c r="E6" s="12">
        <v>14</v>
      </c>
      <c r="F6" s="12">
        <v>1</v>
      </c>
      <c r="G6" s="12">
        <v>2</v>
      </c>
      <c r="H6" s="12">
        <v>10</v>
      </c>
      <c r="I6" s="12">
        <v>3</v>
      </c>
      <c r="J6" s="12">
        <v>3</v>
      </c>
      <c r="K6" s="12">
        <v>6</v>
      </c>
      <c r="L6" s="12">
        <v>3</v>
      </c>
      <c r="M6" s="12">
        <v>8</v>
      </c>
      <c r="N6" s="12">
        <v>7</v>
      </c>
      <c r="O6" s="12">
        <v>62</v>
      </c>
      <c r="R6" t="s">
        <v>15</v>
      </c>
      <c r="T6">
        <v>5</v>
      </c>
      <c r="U6">
        <v>14</v>
      </c>
      <c r="V6">
        <v>1</v>
      </c>
      <c r="W6">
        <v>2</v>
      </c>
      <c r="X6">
        <v>10</v>
      </c>
      <c r="Y6">
        <v>3</v>
      </c>
      <c r="Z6">
        <v>3</v>
      </c>
      <c r="AA6">
        <v>6</v>
      </c>
      <c r="AB6">
        <v>3</v>
      </c>
      <c r="AC6">
        <v>8</v>
      </c>
      <c r="AD6">
        <v>7</v>
      </c>
      <c r="AE6" s="3">
        <f>AVERAGE(S6:AD6)</f>
        <v>5.6363636363636367</v>
      </c>
      <c r="AF6">
        <f>_xlfn.STDEV.P(S6:AD6)</f>
        <v>3.7239452996843716</v>
      </c>
      <c r="AG6">
        <f>AF6/AE6</f>
        <v>0.66069997252464652</v>
      </c>
      <c r="AH6" t="str">
        <f>IF(AG6&gt;0.6, "High",IF(AG6&gt;0.3, "Moderate","Stable"))</f>
        <v>High</v>
      </c>
      <c r="AI6" t="str">
        <f>_xlfn.XLOOKUP(R6,Table1[SKU_Code],Table1[Category],"Missing")</f>
        <v>Co-ord Sets</v>
      </c>
      <c r="AJ6" s="48">
        <f>SLOPE(Table17[[#This Row],[Jan]:[Dec]], {1,2,3,4,5,6,7,8,9,10,11,12})</f>
        <v>-6.363636363636363E-2</v>
      </c>
      <c r="AK6" s="48" t="str">
        <f>IF(Table17[[#This Row],[Slope]]&gt;5,"Growing", IF(Table17[[#This Row],[Slope]]&lt;-5,"Declining","Flat"))</f>
        <v>Flat</v>
      </c>
      <c r="AM6" t="str">
        <v>Knit Dresses</v>
      </c>
      <c r="AN6">
        <f>AVERAGEIF(Table17[Category],AM6,Table17[CV])</f>
        <v>0.86292694867061193</v>
      </c>
      <c r="AO6">
        <f>COUNTIFS(Table17[Category],AM6,Table17[CV Flag],"High")</f>
        <v>2</v>
      </c>
    </row>
    <row r="7" spans="2:41">
      <c r="B7" s="11" t="s">
        <v>49</v>
      </c>
      <c r="C7" s="12"/>
      <c r="D7" s="12">
        <v>3</v>
      </c>
      <c r="E7" s="12">
        <v>1</v>
      </c>
      <c r="F7" s="12">
        <v>5</v>
      </c>
      <c r="G7" s="12">
        <v>9</v>
      </c>
      <c r="H7" s="12">
        <v>3</v>
      </c>
      <c r="I7" s="12">
        <v>3</v>
      </c>
      <c r="J7" s="12">
        <v>9</v>
      </c>
      <c r="K7" s="12">
        <v>3</v>
      </c>
      <c r="L7" s="12">
        <v>11</v>
      </c>
      <c r="M7" s="12">
        <v>9</v>
      </c>
      <c r="N7" s="12">
        <v>7</v>
      </c>
      <c r="O7" s="12">
        <v>63</v>
      </c>
      <c r="R7" t="s">
        <v>49</v>
      </c>
      <c r="T7">
        <v>3</v>
      </c>
      <c r="U7">
        <v>1</v>
      </c>
      <c r="V7">
        <v>5</v>
      </c>
      <c r="W7">
        <v>9</v>
      </c>
      <c r="X7">
        <v>3</v>
      </c>
      <c r="Y7">
        <v>3</v>
      </c>
      <c r="Z7">
        <v>9</v>
      </c>
      <c r="AA7">
        <v>3</v>
      </c>
      <c r="AB7">
        <v>11</v>
      </c>
      <c r="AC7">
        <v>9</v>
      </c>
      <c r="AD7">
        <v>7</v>
      </c>
      <c r="AE7" s="3">
        <f>AVERAGE(S7:AD7)</f>
        <v>5.7272727272727275</v>
      </c>
      <c r="AF7">
        <f>_xlfn.STDEV.P(S7:AD7)</f>
        <v>3.221826390303518</v>
      </c>
      <c r="AG7">
        <f>AF7/AE7</f>
        <v>0.56254111576728094</v>
      </c>
      <c r="AH7" t="str">
        <f>IF(AG7&gt;0.6, "High",IF(AG7&gt;0.3, "Moderate","Stable"))</f>
        <v>Moderate</v>
      </c>
      <c r="AI7" t="str">
        <f>_xlfn.XLOOKUP(R7,Table1[SKU_Code],Table1[Category],"Missing")</f>
        <v>Sweatshirts</v>
      </c>
      <c r="AJ7" s="48">
        <f>SLOPE(Table17[[#This Row],[Jan]:[Dec]], {1,2,3,4,5,6,7,8,9,10,11,12})</f>
        <v>0.58181818181818179</v>
      </c>
      <c r="AK7" s="48" t="str">
        <f>IF(Table17[[#This Row],[Slope]]&gt;5,"Growing", IF(Table17[[#This Row],[Slope]]&lt;-5,"Declining","Flat"))</f>
        <v>Flat</v>
      </c>
      <c r="AM7" t="str">
        <v>Knitwear</v>
      </c>
      <c r="AN7">
        <f>AVERAGEIF(Table17[Category],AM7,Table17[CV])</f>
        <v>0.69132162102175876</v>
      </c>
      <c r="AO7">
        <f>COUNTIFS(Table17[Category],AM7,Table17[CV Flag],"High")</f>
        <v>4</v>
      </c>
    </row>
    <row r="8" spans="2:41">
      <c r="B8" s="11" t="s">
        <v>228</v>
      </c>
      <c r="C8" s="12">
        <v>1</v>
      </c>
      <c r="D8" s="12">
        <v>8</v>
      </c>
      <c r="E8" s="12">
        <v>8</v>
      </c>
      <c r="F8" s="12">
        <v>3</v>
      </c>
      <c r="G8" s="12"/>
      <c r="H8" s="12">
        <v>2</v>
      </c>
      <c r="I8" s="12">
        <v>6</v>
      </c>
      <c r="J8" s="12">
        <v>12</v>
      </c>
      <c r="K8" s="12">
        <v>15</v>
      </c>
      <c r="L8" s="12"/>
      <c r="M8" s="12">
        <v>5</v>
      </c>
      <c r="N8" s="12">
        <v>8</v>
      </c>
      <c r="O8" s="12">
        <v>68</v>
      </c>
      <c r="R8" t="s">
        <v>228</v>
      </c>
      <c r="S8">
        <v>1</v>
      </c>
      <c r="T8">
        <v>8</v>
      </c>
      <c r="U8">
        <v>8</v>
      </c>
      <c r="V8">
        <v>3</v>
      </c>
      <c r="X8">
        <v>2</v>
      </c>
      <c r="Y8">
        <v>6</v>
      </c>
      <c r="Z8">
        <v>12</v>
      </c>
      <c r="AA8">
        <v>15</v>
      </c>
      <c r="AC8">
        <v>5</v>
      </c>
      <c r="AD8">
        <v>8</v>
      </c>
      <c r="AE8" s="3">
        <f>AVERAGE(S8:AD8)</f>
        <v>6.8</v>
      </c>
      <c r="AF8">
        <f>_xlfn.STDEV.P(S8:AD8)</f>
        <v>4.1665333311999317</v>
      </c>
      <c r="AG8">
        <f>AF8/AE8</f>
        <v>0.61272548988234288</v>
      </c>
      <c r="AH8" t="str">
        <f>IF(AG8&gt;0.6, "High",IF(AG8&gt;0.3, "Moderate","Stable"))</f>
        <v>High</v>
      </c>
      <c r="AI8" t="str">
        <f>_xlfn.XLOOKUP(R8,Table1[SKU_Code],Table1[Category],"Missing")</f>
        <v>Sweatshirts</v>
      </c>
      <c r="AJ8" s="48">
        <f>SLOPE(Table17[[#This Row],[Jan]:[Dec]], {1,2,3,4,5,6,7,8,9,10,11,12})</f>
        <v>0.47306791569086643</v>
      </c>
      <c r="AK8" s="48" t="str">
        <f>IF(Table17[[#This Row],[Slope]]&gt;5,"Growing", IF(Table17[[#This Row],[Slope]]&lt;-5,"Declining","Flat"))</f>
        <v>Flat</v>
      </c>
      <c r="AM8" t="str">
        <v>Shirts</v>
      </c>
      <c r="AN8">
        <f>AVERAGEIF(Table17[Category],AM8,Table17[CV])</f>
        <v>0.68341423703169912</v>
      </c>
      <c r="AO8">
        <f>COUNTIFS(Table17[Category],AM8,Table17[CV Flag],"High")</f>
        <v>3</v>
      </c>
    </row>
    <row r="9" spans="2:41">
      <c r="B9" s="11" t="s">
        <v>94</v>
      </c>
      <c r="C9" s="12">
        <v>8</v>
      </c>
      <c r="D9" s="12">
        <v>4</v>
      </c>
      <c r="E9" s="12">
        <v>14</v>
      </c>
      <c r="F9" s="12">
        <v>3</v>
      </c>
      <c r="G9" s="12">
        <v>3</v>
      </c>
      <c r="H9" s="12">
        <v>5</v>
      </c>
      <c r="I9" s="12">
        <v>-2</v>
      </c>
      <c r="J9" s="12">
        <v>2</v>
      </c>
      <c r="K9" s="12">
        <v>9</v>
      </c>
      <c r="L9" s="12">
        <v>3</v>
      </c>
      <c r="M9" s="12">
        <v>4</v>
      </c>
      <c r="N9" s="12">
        <v>6</v>
      </c>
      <c r="O9" s="12">
        <v>59</v>
      </c>
      <c r="R9" t="s">
        <v>94</v>
      </c>
      <c r="S9">
        <v>8</v>
      </c>
      <c r="T9">
        <v>4</v>
      </c>
      <c r="U9">
        <v>14</v>
      </c>
      <c r="V9">
        <v>3</v>
      </c>
      <c r="W9">
        <v>3</v>
      </c>
      <c r="X9">
        <v>5</v>
      </c>
      <c r="Y9">
        <v>-2</v>
      </c>
      <c r="Z9">
        <v>2</v>
      </c>
      <c r="AA9">
        <v>9</v>
      </c>
      <c r="AB9">
        <v>3</v>
      </c>
      <c r="AC9">
        <v>4</v>
      </c>
      <c r="AD9">
        <v>6</v>
      </c>
      <c r="AE9" s="3">
        <f>AVERAGE(S9:AD9)</f>
        <v>4.916666666666667</v>
      </c>
      <c r="AF9">
        <f>_xlfn.STDEV.P(S9:AD9)</f>
        <v>3.861310946067698</v>
      </c>
      <c r="AG9">
        <f>AF9/AE9</f>
        <v>0.78535137886122663</v>
      </c>
      <c r="AH9" t="str">
        <f>IF(AG9&gt;0.6, "High",IF(AG9&gt;0.3, "Moderate","Stable"))</f>
        <v>High</v>
      </c>
      <c r="AI9" t="str">
        <f>_xlfn.XLOOKUP(R9,Table1[SKU_Code],Table1[Category],"Missing")</f>
        <v>Sweatshirts</v>
      </c>
      <c r="AJ9" s="48">
        <f>SLOPE(Table17[[#This Row],[Jan]:[Dec]], {1,2,3,4,5,6,7,8,9,10,11,12})</f>
        <v>-0.2762237762237762</v>
      </c>
      <c r="AK9" s="48" t="str">
        <f>IF(Table17[[#This Row],[Slope]]&gt;5,"Growing", IF(Table17[[#This Row],[Slope]]&lt;-5,"Declining","Flat"))</f>
        <v>Flat</v>
      </c>
      <c r="AM9" t="str">
        <v>Skirts</v>
      </c>
      <c r="AN9">
        <f>AVERAGEIF(Table17[Category],AM9,Table17[CV])</f>
        <v>0.57864058491269965</v>
      </c>
      <c r="AO9">
        <f>COUNTIFS(Table17[Category],AM9,Table17[CV Flag],"High")</f>
        <v>1</v>
      </c>
    </row>
    <row r="10" spans="2:41">
      <c r="B10" s="11" t="s">
        <v>75</v>
      </c>
      <c r="C10" s="12">
        <v>4</v>
      </c>
      <c r="D10" s="12">
        <v>4</v>
      </c>
      <c r="E10" s="12">
        <v>3</v>
      </c>
      <c r="F10" s="12"/>
      <c r="G10" s="12">
        <v>5</v>
      </c>
      <c r="H10" s="12">
        <v>7</v>
      </c>
      <c r="I10" s="12">
        <v>12</v>
      </c>
      <c r="J10" s="12">
        <v>2</v>
      </c>
      <c r="K10" s="12">
        <v>6</v>
      </c>
      <c r="L10" s="12">
        <v>10</v>
      </c>
      <c r="M10" s="12">
        <v>2</v>
      </c>
      <c r="N10" s="12">
        <v>3</v>
      </c>
      <c r="O10" s="12">
        <v>58</v>
      </c>
      <c r="R10" t="s">
        <v>75</v>
      </c>
      <c r="S10">
        <v>4</v>
      </c>
      <c r="T10">
        <v>4</v>
      </c>
      <c r="U10">
        <v>3</v>
      </c>
      <c r="W10">
        <v>5</v>
      </c>
      <c r="X10">
        <v>7</v>
      </c>
      <c r="Y10">
        <v>12</v>
      </c>
      <c r="Z10">
        <v>2</v>
      </c>
      <c r="AA10">
        <v>6</v>
      </c>
      <c r="AB10">
        <v>10</v>
      </c>
      <c r="AC10">
        <v>2</v>
      </c>
      <c r="AD10">
        <v>3</v>
      </c>
      <c r="AE10" s="3">
        <f>AVERAGE(S10:AD10)</f>
        <v>5.2727272727272725</v>
      </c>
      <c r="AF10">
        <f>_xlfn.STDEV.P(S10:AD10)</f>
        <v>3.1069104528427385</v>
      </c>
      <c r="AG10">
        <f>AF10/AE10</f>
        <v>0.58924163760810555</v>
      </c>
      <c r="AH10" t="str">
        <f>IF(AG10&gt;0.6, "High",IF(AG10&gt;0.3, "Moderate","Stable"))</f>
        <v>Moderate</v>
      </c>
      <c r="AI10" t="str">
        <f>_xlfn.XLOOKUP(R10,Table1[SKU_Code],Table1[Category],"Missing")</f>
        <v>Sweatshirts</v>
      </c>
      <c r="AJ10" s="48">
        <f>SLOPE(Table17[[#This Row],[Jan]:[Dec]], {1,2,3,4,5,6,7,8,9,10,11,12})</f>
        <v>7.209612817089453E-2</v>
      </c>
      <c r="AK10" s="48" t="str">
        <f>IF(Table17[[#This Row],[Slope]]&gt;5,"Growing", IF(Table17[[#This Row],[Slope]]&lt;-5,"Declining","Flat"))</f>
        <v>Flat</v>
      </c>
      <c r="AM10" t="str">
        <v>Dresses</v>
      </c>
      <c r="AN10">
        <f>AVERAGEIF(Table17[Category],AM10,Table17[CV])</f>
        <v>0.71883968819302724</v>
      </c>
      <c r="AO10">
        <f>COUNTIFS(Table17[Category],AM10,Table17[CV Flag],"High")</f>
        <v>5</v>
      </c>
    </row>
    <row r="11" spans="2:41">
      <c r="B11" s="11" t="s">
        <v>31</v>
      </c>
      <c r="C11" s="12">
        <v>4</v>
      </c>
      <c r="D11" s="12">
        <v>17</v>
      </c>
      <c r="E11" s="12">
        <v>8</v>
      </c>
      <c r="F11" s="12">
        <v>6</v>
      </c>
      <c r="G11" s="12"/>
      <c r="H11" s="12">
        <v>2</v>
      </c>
      <c r="I11" s="12">
        <v>12</v>
      </c>
      <c r="J11" s="12">
        <v>3</v>
      </c>
      <c r="K11" s="12">
        <v>2</v>
      </c>
      <c r="L11" s="12">
        <v>4</v>
      </c>
      <c r="M11" s="12">
        <v>13</v>
      </c>
      <c r="N11" s="12">
        <v>3</v>
      </c>
      <c r="O11" s="12">
        <v>74</v>
      </c>
      <c r="R11" t="s">
        <v>31</v>
      </c>
      <c r="S11">
        <v>4</v>
      </c>
      <c r="T11">
        <v>17</v>
      </c>
      <c r="U11">
        <v>8</v>
      </c>
      <c r="V11">
        <v>6</v>
      </c>
      <c r="X11">
        <v>2</v>
      </c>
      <c r="Y11">
        <v>12</v>
      </c>
      <c r="Z11">
        <v>3</v>
      </c>
      <c r="AA11">
        <v>2</v>
      </c>
      <c r="AB11">
        <v>4</v>
      </c>
      <c r="AC11">
        <v>13</v>
      </c>
      <c r="AD11">
        <v>3</v>
      </c>
      <c r="AE11" s="3">
        <f>AVERAGE(S11:AD11)</f>
        <v>6.7272727272727275</v>
      </c>
      <c r="AF11">
        <f>_xlfn.STDEV.P(S11:AD11)</f>
        <v>4.8820805753082013</v>
      </c>
      <c r="AG11">
        <f>AF11/AE11</f>
        <v>0.72571468011338125</v>
      </c>
      <c r="AH11" t="str">
        <f>IF(AG11&gt;0.6, "High",IF(AG11&gt;0.3, "Moderate","Stable"))</f>
        <v>High</v>
      </c>
      <c r="AI11" t="str">
        <f>_xlfn.XLOOKUP(R11,Table1[SKU_Code],Table1[Category],"Missing")</f>
        <v>Sweatshirts</v>
      </c>
      <c r="AJ11" s="48">
        <f>SLOPE(Table17[[#This Row],[Jan]:[Dec]], {1,2,3,4,5,6,7,8,9,10,11,12})</f>
        <v>-0.34217335058214754</v>
      </c>
      <c r="AK11" s="48" t="str">
        <f>IF(Table17[[#This Row],[Slope]]&gt;5,"Growing", IF(Table17[[#This Row],[Slope]]&lt;-5,"Declining","Flat"))</f>
        <v>Flat</v>
      </c>
      <c r="AM11" t="str">
        <v>Outerwear</v>
      </c>
      <c r="AN11">
        <f>AVERAGEIF(Table17[Category],AM11,Table17[CV])</f>
        <v>0.76859859592175461</v>
      </c>
      <c r="AO11">
        <f>COUNTIFS(Table17[Category],AM11,Table17[CV Flag],"High")</f>
        <v>1</v>
      </c>
    </row>
    <row r="12" spans="2:41">
      <c r="B12" s="11" t="s">
        <v>27</v>
      </c>
      <c r="C12" s="12">
        <v>5</v>
      </c>
      <c r="D12" s="12">
        <v>3</v>
      </c>
      <c r="E12" s="12">
        <v>3</v>
      </c>
      <c r="F12" s="12">
        <v>2</v>
      </c>
      <c r="G12" s="12">
        <v>12</v>
      </c>
      <c r="H12" s="12">
        <v>10</v>
      </c>
      <c r="I12" s="12">
        <v>6</v>
      </c>
      <c r="J12" s="12"/>
      <c r="K12" s="12">
        <v>9</v>
      </c>
      <c r="L12" s="12">
        <v>3</v>
      </c>
      <c r="M12" s="12">
        <v>11</v>
      </c>
      <c r="N12" s="12">
        <v>7</v>
      </c>
      <c r="O12" s="12">
        <v>71</v>
      </c>
      <c r="R12" t="s">
        <v>27</v>
      </c>
      <c r="S12">
        <v>5</v>
      </c>
      <c r="T12">
        <v>3</v>
      </c>
      <c r="U12">
        <v>3</v>
      </c>
      <c r="V12">
        <v>2</v>
      </c>
      <c r="W12">
        <v>12</v>
      </c>
      <c r="X12">
        <v>10</v>
      </c>
      <c r="Y12">
        <v>6</v>
      </c>
      <c r="AA12">
        <v>9</v>
      </c>
      <c r="AB12">
        <v>3</v>
      </c>
      <c r="AC12">
        <v>11</v>
      </c>
      <c r="AD12">
        <v>7</v>
      </c>
      <c r="AE12" s="3">
        <f>AVERAGE(S12:AD12)</f>
        <v>6.4545454545454541</v>
      </c>
      <c r="AF12">
        <f>_xlfn.STDEV.P(S12:AD12)</f>
        <v>3.4208886767685054</v>
      </c>
      <c r="AG12">
        <f>AF12/AE12</f>
        <v>0.5299968372458248</v>
      </c>
      <c r="AH12" t="str">
        <f>IF(AG12&gt;0.6, "High",IF(AG12&gt;0.3, "Moderate","Stable"))</f>
        <v>Moderate</v>
      </c>
      <c r="AI12" t="str">
        <f>_xlfn.XLOOKUP(R12,Table1[SKU_Code],Table1[Category],"Missing")</f>
        <v>Sweatshirts</v>
      </c>
      <c r="AJ12" s="48">
        <f>SLOPE(Table17[[#This Row],[Jan]:[Dec]], {1,2,3,4,5,6,7,8,9,10,11,12})</f>
        <v>0.38551099611901679</v>
      </c>
      <c r="AK12" s="48" t="str">
        <f>IF(Table17[[#This Row],[Slope]]&gt;5,"Growing", IF(Table17[[#This Row],[Slope]]&lt;-5,"Declining","Flat"))</f>
        <v>Flat</v>
      </c>
      <c r="AM12" t="str">
        <v>Pyjamas</v>
      </c>
      <c r="AN12">
        <f>AVERAGEIF(Table17[Category],AM12,Table17[CV])</f>
        <v>0.91214034007931044</v>
      </c>
      <c r="AO12">
        <f>COUNTIFS(Table17[Category],AM12,Table17[CV Flag],"High")</f>
        <v>1</v>
      </c>
    </row>
    <row r="13" spans="2:41">
      <c r="B13" s="11" t="s">
        <v>104</v>
      </c>
      <c r="C13" s="12">
        <v>4</v>
      </c>
      <c r="D13" s="12">
        <v>2</v>
      </c>
      <c r="E13" s="12">
        <v>1</v>
      </c>
      <c r="F13" s="12">
        <v>0</v>
      </c>
      <c r="G13" s="12">
        <v>5</v>
      </c>
      <c r="H13" s="12">
        <v>8</v>
      </c>
      <c r="I13" s="12">
        <v>2</v>
      </c>
      <c r="J13" s="12">
        <v>2</v>
      </c>
      <c r="K13" s="12">
        <v>7</v>
      </c>
      <c r="L13" s="12">
        <v>4</v>
      </c>
      <c r="M13" s="12">
        <v>5</v>
      </c>
      <c r="N13" s="12"/>
      <c r="O13" s="12">
        <v>40</v>
      </c>
      <c r="R13" t="s">
        <v>104</v>
      </c>
      <c r="S13">
        <v>4</v>
      </c>
      <c r="T13">
        <v>2</v>
      </c>
      <c r="U13">
        <v>1</v>
      </c>
      <c r="V13">
        <v>0</v>
      </c>
      <c r="W13">
        <v>5</v>
      </c>
      <c r="X13">
        <v>8</v>
      </c>
      <c r="Y13">
        <v>2</v>
      </c>
      <c r="Z13">
        <v>2</v>
      </c>
      <c r="AA13">
        <v>7</v>
      </c>
      <c r="AB13">
        <v>4</v>
      </c>
      <c r="AC13">
        <v>5</v>
      </c>
      <c r="AE13" s="3">
        <f>AVERAGE(S13:AD13)</f>
        <v>3.6363636363636362</v>
      </c>
      <c r="AF13">
        <f>_xlfn.STDEV.P(S13:AD13)</f>
        <v>2.3845230997461822</v>
      </c>
      <c r="AG13">
        <f>AF13/AE13</f>
        <v>0.65574385243020006</v>
      </c>
      <c r="AH13" t="str">
        <f>IF(AG13&gt;0.6, "High",IF(AG13&gt;0.3, "Moderate","Stable"))</f>
        <v>High</v>
      </c>
      <c r="AI13" t="str">
        <f>_xlfn.XLOOKUP(R13,Table1[SKU_Code],Table1[Category],"Missing")</f>
        <v>Sweatshirts</v>
      </c>
      <c r="AJ13" s="48">
        <f>SLOPE(Table17[[#This Row],[Jan]:[Dec]], {1,2,3,4,5,6,7,8,9,10,11,12})</f>
        <v>0.29090909090909089</v>
      </c>
      <c r="AK13" s="48" t="str">
        <f>IF(Table17[[#This Row],[Slope]]&gt;5,"Growing", IF(Table17[[#This Row],[Slope]]&lt;-5,"Declining","Flat"))</f>
        <v>Flat</v>
      </c>
      <c r="AM13" t="str">
        <v>Basics</v>
      </c>
      <c r="AN13">
        <f>AVERAGEIF(Table17[Category],AM13,Table17[CV])</f>
        <v>0.65234596160785163</v>
      </c>
      <c r="AO13">
        <f>COUNTIFS(Table17[Category],AM13,Table17[CV Flag],"High")</f>
        <v>2</v>
      </c>
    </row>
    <row r="14" spans="2:41">
      <c r="B14" s="11" t="s">
        <v>38</v>
      </c>
      <c r="C14" s="12">
        <v>7</v>
      </c>
      <c r="D14" s="12">
        <v>3</v>
      </c>
      <c r="E14" s="12">
        <v>2</v>
      </c>
      <c r="F14" s="12">
        <v>1</v>
      </c>
      <c r="G14" s="12"/>
      <c r="H14" s="12"/>
      <c r="I14" s="12">
        <v>-3</v>
      </c>
      <c r="J14" s="12">
        <v>3</v>
      </c>
      <c r="K14" s="12">
        <v>8</v>
      </c>
      <c r="L14" s="12">
        <v>8</v>
      </c>
      <c r="M14" s="12">
        <v>7</v>
      </c>
      <c r="N14" s="12">
        <v>2</v>
      </c>
      <c r="O14" s="12">
        <v>38</v>
      </c>
      <c r="R14" t="s">
        <v>38</v>
      </c>
      <c r="S14">
        <v>7</v>
      </c>
      <c r="T14">
        <v>3</v>
      </c>
      <c r="U14">
        <v>2</v>
      </c>
      <c r="V14">
        <v>1</v>
      </c>
      <c r="Y14">
        <v>-3</v>
      </c>
      <c r="Z14">
        <v>3</v>
      </c>
      <c r="AA14">
        <v>8</v>
      </c>
      <c r="AB14">
        <v>8</v>
      </c>
      <c r="AC14">
        <v>7</v>
      </c>
      <c r="AD14">
        <v>2</v>
      </c>
      <c r="AE14" s="3">
        <f>AVERAGE(S14:AD14)</f>
        <v>3.8</v>
      </c>
      <c r="AF14">
        <f>_xlfn.STDEV.P(S14:AD14)</f>
        <v>3.4292856398964493</v>
      </c>
      <c r="AG14">
        <f>AF14/AE14</f>
        <v>0.9024435894464341</v>
      </c>
      <c r="AH14" t="str">
        <f>IF(AG14&gt;0.6, "High",IF(AG14&gt;0.3, "Moderate","Stable"))</f>
        <v>High</v>
      </c>
      <c r="AI14" t="str">
        <f>_xlfn.XLOOKUP(R14,Table1[SKU_Code],Table1[Category],"Missing")</f>
        <v>Knit Dresses</v>
      </c>
      <c r="AJ14" s="48">
        <f>SLOPE(Table17[[#This Row],[Jan]:[Dec]], {1,2,3,4,5,6,7,8,9,10,11,12})</f>
        <v>0.17416131334760881</v>
      </c>
      <c r="AK14" s="48" t="str">
        <f>IF(Table17[[#This Row],[Slope]]&gt;5,"Growing", IF(Table17[[#This Row],[Slope]]&lt;-5,"Declining","Flat"))</f>
        <v>Flat</v>
      </c>
      <c r="AM14" t="str">
        <v>Bottoms</v>
      </c>
      <c r="AN14">
        <f>AVERAGEIF(Table17[Category],AM14,Table17[CV])</f>
        <v>0.60778114285471074</v>
      </c>
      <c r="AO14">
        <f>COUNTIFS(Table17[Category],AM14,Table17[CV Flag],"High")</f>
        <v>1</v>
      </c>
    </row>
    <row r="15" spans="2:41">
      <c r="B15" s="11" t="s">
        <v>173</v>
      </c>
      <c r="C15" s="12">
        <v>4</v>
      </c>
      <c r="D15" s="12"/>
      <c r="E15" s="12">
        <v>2</v>
      </c>
      <c r="F15" s="12">
        <v>13</v>
      </c>
      <c r="G15" s="12"/>
      <c r="H15" s="12">
        <v>3</v>
      </c>
      <c r="I15" s="12">
        <v>7</v>
      </c>
      <c r="J15" s="12">
        <v>2</v>
      </c>
      <c r="K15" s="12">
        <v>6</v>
      </c>
      <c r="L15" s="12">
        <v>2</v>
      </c>
      <c r="M15" s="12">
        <v>2</v>
      </c>
      <c r="N15" s="12">
        <v>1</v>
      </c>
      <c r="O15" s="12">
        <v>42</v>
      </c>
      <c r="R15" t="s">
        <v>173</v>
      </c>
      <c r="S15">
        <v>4</v>
      </c>
      <c r="U15">
        <v>2</v>
      </c>
      <c r="V15">
        <v>13</v>
      </c>
      <c r="X15">
        <v>3</v>
      </c>
      <c r="Y15">
        <v>7</v>
      </c>
      <c r="Z15">
        <v>2</v>
      </c>
      <c r="AA15">
        <v>6</v>
      </c>
      <c r="AB15">
        <v>2</v>
      </c>
      <c r="AC15">
        <v>2</v>
      </c>
      <c r="AD15">
        <v>1</v>
      </c>
      <c r="AE15" s="3">
        <f>AVERAGE(S15:AD15)</f>
        <v>4.2</v>
      </c>
      <c r="AF15">
        <f>_xlfn.STDEV.P(S15:AD15)</f>
        <v>3.4583232931581165</v>
      </c>
      <c r="AG15">
        <f>AF15/AE15</f>
        <v>0.82341030789478964</v>
      </c>
      <c r="AH15" t="str">
        <f>IF(AG15&gt;0.6, "High",IF(AG15&gt;0.3, "Moderate","Stable"))</f>
        <v>High</v>
      </c>
      <c r="AI15" t="str">
        <f>_xlfn.XLOOKUP(R15,Table1[SKU_Code],Table1[Category],"Missing")</f>
        <v>Knit Dresses</v>
      </c>
      <c r="AJ15" s="48">
        <f>SLOPE(Table17[[#This Row],[Jan]:[Dec]], {1,2,3,4,5,6,7,8,9,10,11,12})</f>
        <v>-0.38665526090675789</v>
      </c>
      <c r="AK15" s="48" t="str">
        <f>IF(Table17[[#This Row],[Slope]]&gt;5,"Growing", IF(Table17[[#This Row],[Slope]]&lt;-5,"Declining","Flat"))</f>
        <v>Flat</v>
      </c>
    </row>
    <row r="16" spans="2:41">
      <c r="B16" s="11" t="s">
        <v>131</v>
      </c>
      <c r="C16" s="12">
        <v>4</v>
      </c>
      <c r="D16" s="12">
        <v>6</v>
      </c>
      <c r="E16" s="12">
        <v>5</v>
      </c>
      <c r="F16" s="12">
        <v>6</v>
      </c>
      <c r="G16" s="12">
        <v>0</v>
      </c>
      <c r="H16" s="12">
        <v>1</v>
      </c>
      <c r="I16" s="12">
        <v>8</v>
      </c>
      <c r="J16" s="12">
        <v>5</v>
      </c>
      <c r="K16" s="12">
        <v>2</v>
      </c>
      <c r="L16" s="12">
        <v>10</v>
      </c>
      <c r="M16" s="12">
        <v>10</v>
      </c>
      <c r="N16" s="12">
        <v>4</v>
      </c>
      <c r="O16" s="12">
        <v>61</v>
      </c>
      <c r="R16" t="s">
        <v>131</v>
      </c>
      <c r="S16">
        <v>4</v>
      </c>
      <c r="T16">
        <v>6</v>
      </c>
      <c r="U16">
        <v>5</v>
      </c>
      <c r="V16">
        <v>6</v>
      </c>
      <c r="W16">
        <v>0</v>
      </c>
      <c r="X16">
        <v>1</v>
      </c>
      <c r="Y16">
        <v>8</v>
      </c>
      <c r="Z16">
        <v>5</v>
      </c>
      <c r="AA16">
        <v>2</v>
      </c>
      <c r="AB16">
        <v>10</v>
      </c>
      <c r="AC16">
        <v>10</v>
      </c>
      <c r="AD16">
        <v>4</v>
      </c>
      <c r="AE16" s="3">
        <f>AVERAGE(S16:AD16)</f>
        <v>5.083333333333333</v>
      </c>
      <c r="AF16">
        <f>_xlfn.STDEV.P(S16:AD16)</f>
        <v>3.0675270532176602</v>
      </c>
      <c r="AG16">
        <f>AF16/AE16</f>
        <v>0.60344794489527742</v>
      </c>
      <c r="AH16" t="str">
        <f>IF(AG16&gt;0.6, "High",IF(AG16&gt;0.3, "Moderate","Stable"))</f>
        <v>High</v>
      </c>
      <c r="AI16" t="str">
        <f>_xlfn.XLOOKUP(R16,Table1[SKU_Code],Table1[Category],"Missing")</f>
        <v>Knitwear</v>
      </c>
      <c r="AJ16" s="48">
        <f>SLOPE(Table17[[#This Row],[Jan]:[Dec]], {1,2,3,4,5,6,7,8,9,10,11,12})</f>
        <v>0.25524475524475526</v>
      </c>
      <c r="AK16" s="48" t="str">
        <f>IF(Table17[[#This Row],[Slope]]&gt;5,"Growing", IF(Table17[[#This Row],[Slope]]&lt;-5,"Declining","Flat"))</f>
        <v>Flat</v>
      </c>
    </row>
    <row r="17" spans="2:37">
      <c r="B17" s="11" t="s">
        <v>60</v>
      </c>
      <c r="C17" s="12">
        <v>3</v>
      </c>
      <c r="D17" s="12">
        <v>3</v>
      </c>
      <c r="E17" s="12">
        <v>2</v>
      </c>
      <c r="F17" s="12">
        <v>9</v>
      </c>
      <c r="G17" s="12">
        <v>5</v>
      </c>
      <c r="H17" s="12">
        <v>1</v>
      </c>
      <c r="I17" s="12">
        <v>15</v>
      </c>
      <c r="J17" s="12">
        <v>3</v>
      </c>
      <c r="K17" s="12">
        <v>8</v>
      </c>
      <c r="L17" s="12"/>
      <c r="M17" s="12"/>
      <c r="N17" s="12">
        <v>6</v>
      </c>
      <c r="O17" s="12">
        <v>55</v>
      </c>
      <c r="R17" t="s">
        <v>60</v>
      </c>
      <c r="S17">
        <v>3</v>
      </c>
      <c r="T17">
        <v>3</v>
      </c>
      <c r="U17">
        <v>2</v>
      </c>
      <c r="V17">
        <v>9</v>
      </c>
      <c r="W17">
        <v>5</v>
      </c>
      <c r="X17">
        <v>1</v>
      </c>
      <c r="Y17">
        <v>15</v>
      </c>
      <c r="Z17">
        <v>3</v>
      </c>
      <c r="AA17">
        <v>8</v>
      </c>
      <c r="AD17">
        <v>6</v>
      </c>
      <c r="AE17" s="3">
        <f>AVERAGE(S17:AD17)</f>
        <v>5.5</v>
      </c>
      <c r="AF17">
        <f>_xlfn.STDEV.P(S17:AD17)</f>
        <v>4.0062451248020263</v>
      </c>
      <c r="AG17">
        <f>AF17/AE17</f>
        <v>0.72840820450945931</v>
      </c>
      <c r="AH17" t="str">
        <f>IF(AG17&gt;0.6, "High",IF(AG17&gt;0.3, "Moderate","Stable"))</f>
        <v>High</v>
      </c>
      <c r="AI17" t="str">
        <f>_xlfn.XLOOKUP(R17,Table1[SKU_Code],Table1[Category],"Missing")</f>
        <v>Knitwear</v>
      </c>
      <c r="AJ17" s="48">
        <f>SLOPE(Table17[[#This Row],[Jan]:[Dec]], {1,2,3,4,5,6,7,8,9,10,11,12})</f>
        <v>0.39865513928914509</v>
      </c>
      <c r="AK17" s="48" t="str">
        <f>IF(Table17[[#This Row],[Slope]]&gt;5,"Growing", IF(Table17[[#This Row],[Slope]]&lt;-5,"Declining","Flat"))</f>
        <v>Flat</v>
      </c>
    </row>
    <row r="18" spans="2:37">
      <c r="B18" s="11" t="s">
        <v>139</v>
      </c>
      <c r="C18" s="12">
        <v>0</v>
      </c>
      <c r="D18" s="12">
        <v>5</v>
      </c>
      <c r="E18" s="12">
        <v>8</v>
      </c>
      <c r="F18" s="12">
        <v>2</v>
      </c>
      <c r="G18" s="12">
        <v>6</v>
      </c>
      <c r="H18" s="12"/>
      <c r="I18" s="12">
        <v>1</v>
      </c>
      <c r="J18" s="12">
        <v>3</v>
      </c>
      <c r="K18" s="12"/>
      <c r="L18" s="12">
        <v>5</v>
      </c>
      <c r="M18" s="12">
        <v>10</v>
      </c>
      <c r="N18" s="12">
        <v>3</v>
      </c>
      <c r="O18" s="12">
        <v>43</v>
      </c>
      <c r="R18" t="s">
        <v>139</v>
      </c>
      <c r="S18">
        <v>0</v>
      </c>
      <c r="T18">
        <v>5</v>
      </c>
      <c r="U18">
        <v>8</v>
      </c>
      <c r="V18">
        <v>2</v>
      </c>
      <c r="W18">
        <v>6</v>
      </c>
      <c r="Y18">
        <v>1</v>
      </c>
      <c r="Z18">
        <v>3</v>
      </c>
      <c r="AB18">
        <v>5</v>
      </c>
      <c r="AC18">
        <v>10</v>
      </c>
      <c r="AD18">
        <v>3</v>
      </c>
      <c r="AE18" s="3">
        <f>AVERAGE(S18:AD18)</f>
        <v>4.3</v>
      </c>
      <c r="AF18">
        <f>_xlfn.STDEV.P(S18:AD18)</f>
        <v>2.9681644159311662</v>
      </c>
      <c r="AG18">
        <f>AF18/AE18</f>
        <v>0.69027079440259687</v>
      </c>
      <c r="AH18" t="str">
        <f>IF(AG18&gt;0.6, "High",IF(AG18&gt;0.3, "Moderate","Stable"))</f>
        <v>High</v>
      </c>
      <c r="AI18" t="str">
        <f>_xlfn.XLOOKUP(R18,Table1[SKU_Code],Table1[Category],"Missing")</f>
        <v>Knitwear</v>
      </c>
      <c r="AJ18" s="48">
        <f>SLOPE(Table17[[#This Row],[Jan]:[Dec]], {1,2,3,4,5,6,7,8,9,10,11,12})</f>
        <v>0.20646583394562826</v>
      </c>
      <c r="AK18" s="48" t="str">
        <f>IF(Table17[[#This Row],[Slope]]&gt;5,"Growing", IF(Table17[[#This Row],[Slope]]&lt;-5,"Declining","Flat"))</f>
        <v>Flat</v>
      </c>
    </row>
    <row r="19" spans="2:37">
      <c r="B19" s="11" t="s">
        <v>46</v>
      </c>
      <c r="C19" s="12">
        <v>3</v>
      </c>
      <c r="D19" s="12">
        <v>1</v>
      </c>
      <c r="E19" s="12">
        <v>9</v>
      </c>
      <c r="F19" s="12">
        <v>2</v>
      </c>
      <c r="G19" s="12">
        <v>3</v>
      </c>
      <c r="H19" s="12">
        <v>1</v>
      </c>
      <c r="I19" s="12">
        <v>2</v>
      </c>
      <c r="J19" s="12">
        <v>1</v>
      </c>
      <c r="K19" s="12">
        <v>4</v>
      </c>
      <c r="L19" s="12">
        <v>2</v>
      </c>
      <c r="M19" s="12">
        <v>2</v>
      </c>
      <c r="N19" s="12">
        <v>9</v>
      </c>
      <c r="O19" s="12">
        <v>39</v>
      </c>
      <c r="R19" t="s">
        <v>46</v>
      </c>
      <c r="S19">
        <v>3</v>
      </c>
      <c r="T19">
        <v>1</v>
      </c>
      <c r="U19">
        <v>9</v>
      </c>
      <c r="V19">
        <v>2</v>
      </c>
      <c r="W19">
        <v>3</v>
      </c>
      <c r="X19">
        <v>1</v>
      </c>
      <c r="Y19">
        <v>2</v>
      </c>
      <c r="Z19">
        <v>1</v>
      </c>
      <c r="AA19">
        <v>4</v>
      </c>
      <c r="AB19">
        <v>2</v>
      </c>
      <c r="AC19">
        <v>2</v>
      </c>
      <c r="AD19">
        <v>9</v>
      </c>
      <c r="AE19" s="3">
        <f>AVERAGE(S19:AD19)</f>
        <v>3.25</v>
      </c>
      <c r="AF19">
        <f>_xlfn.STDEV.P(S19:AD19)</f>
        <v>2.7118566825454966</v>
      </c>
      <c r="AG19">
        <f>AF19/AE19</f>
        <v>0.83441744078322977</v>
      </c>
      <c r="AH19" t="str">
        <f>IF(AG19&gt;0.6, "High",IF(AG19&gt;0.3, "Moderate","Stable"))</f>
        <v>High</v>
      </c>
      <c r="AI19" t="str">
        <f>_xlfn.XLOOKUP(R19,Table1[SKU_Code],Table1[Category],"Missing")</f>
        <v>Sweatshirts</v>
      </c>
      <c r="AJ19" s="48">
        <f>SLOPE(Table17[[#This Row],[Jan]:[Dec]], {1,2,3,4,5,6,7,8,9,10,11,12})</f>
        <v>0.10839160839160839</v>
      </c>
      <c r="AK19" s="48" t="str">
        <f>IF(Table17[[#This Row],[Slope]]&gt;5,"Growing", IF(Table17[[#This Row],[Slope]]&lt;-5,"Declining","Flat"))</f>
        <v>Flat</v>
      </c>
    </row>
    <row r="20" spans="2:37">
      <c r="B20" s="11" t="s">
        <v>43</v>
      </c>
      <c r="C20" s="12">
        <v>2</v>
      </c>
      <c r="D20" s="12">
        <v>1</v>
      </c>
      <c r="E20" s="12">
        <v>22</v>
      </c>
      <c r="F20" s="12"/>
      <c r="G20" s="12">
        <v>1</v>
      </c>
      <c r="H20" s="12">
        <v>1</v>
      </c>
      <c r="I20" s="12">
        <v>8</v>
      </c>
      <c r="J20" s="12">
        <v>1</v>
      </c>
      <c r="K20" s="12">
        <v>2</v>
      </c>
      <c r="L20" s="12">
        <v>6</v>
      </c>
      <c r="M20" s="12">
        <v>-4</v>
      </c>
      <c r="N20" s="12">
        <v>6</v>
      </c>
      <c r="O20" s="12">
        <v>46</v>
      </c>
      <c r="R20" t="s">
        <v>43</v>
      </c>
      <c r="S20">
        <v>2</v>
      </c>
      <c r="T20">
        <v>1</v>
      </c>
      <c r="U20">
        <v>22</v>
      </c>
      <c r="W20">
        <v>1</v>
      </c>
      <c r="X20">
        <v>1</v>
      </c>
      <c r="Y20">
        <v>8</v>
      </c>
      <c r="Z20">
        <v>1</v>
      </c>
      <c r="AA20">
        <v>2</v>
      </c>
      <c r="AB20">
        <v>6</v>
      </c>
      <c r="AC20">
        <v>-4</v>
      </c>
      <c r="AD20">
        <v>6</v>
      </c>
      <c r="AE20" s="3">
        <f>AVERAGE(S20:AD20)</f>
        <v>4.1818181818181817</v>
      </c>
      <c r="AF20">
        <f>_xlfn.STDEV.P(S20:AD20)</f>
        <v>6.435952734701039</v>
      </c>
      <c r="AG20">
        <f>AF20/AE20</f>
        <v>1.539032175689379</v>
      </c>
      <c r="AH20" t="str">
        <f>IF(AG20&gt;0.6, "High",IF(AG20&gt;0.3, "Moderate","Stable"))</f>
        <v>High</v>
      </c>
      <c r="AI20" t="str">
        <f>_xlfn.XLOOKUP(R20,Table1[SKU_Code],Table1[Category],"Missing")</f>
        <v>Sweatshirts</v>
      </c>
      <c r="AJ20" s="48">
        <f>SLOPE(Table17[[#This Row],[Jan]:[Dec]], {1,2,3,4,5,6,7,8,9,10,11,12})</f>
        <v>-0.42923898531375171</v>
      </c>
      <c r="AK20" s="48" t="str">
        <f>IF(Table17[[#This Row],[Slope]]&gt;5,"Growing", IF(Table17[[#This Row],[Slope]]&lt;-5,"Declining","Flat"))</f>
        <v>Flat</v>
      </c>
    </row>
    <row r="21" spans="2:37">
      <c r="B21" s="11" t="s">
        <v>250</v>
      </c>
      <c r="C21" s="12">
        <v>4</v>
      </c>
      <c r="D21" s="12"/>
      <c r="E21" s="12">
        <v>11</v>
      </c>
      <c r="F21" s="12"/>
      <c r="G21" s="12"/>
      <c r="H21" s="12">
        <v>6</v>
      </c>
      <c r="I21" s="12">
        <v>4</v>
      </c>
      <c r="J21" s="12"/>
      <c r="K21" s="12">
        <v>2</v>
      </c>
      <c r="L21" s="12">
        <v>3</v>
      </c>
      <c r="M21" s="12">
        <v>14</v>
      </c>
      <c r="N21" s="12">
        <v>2</v>
      </c>
      <c r="O21" s="12">
        <v>46</v>
      </c>
      <c r="R21" t="s">
        <v>250</v>
      </c>
      <c r="S21">
        <v>4</v>
      </c>
      <c r="U21">
        <v>11</v>
      </c>
      <c r="X21">
        <v>6</v>
      </c>
      <c r="Y21">
        <v>4</v>
      </c>
      <c r="AA21">
        <v>2</v>
      </c>
      <c r="AB21">
        <v>3</v>
      </c>
      <c r="AC21">
        <v>14</v>
      </c>
      <c r="AD21">
        <v>2</v>
      </c>
      <c r="AE21" s="3">
        <f>AVERAGE(S21:AD21)</f>
        <v>5.75</v>
      </c>
      <c r="AF21">
        <f>_xlfn.STDEV.P(S21:AD21)</f>
        <v>4.1457809879442502</v>
      </c>
      <c r="AG21">
        <f>AF21/AE21</f>
        <v>0.72100538920769564</v>
      </c>
      <c r="AH21" t="str">
        <f>IF(AG21&gt;0.6, "High",IF(AG21&gt;0.3, "Moderate","Stable"))</f>
        <v>High</v>
      </c>
      <c r="AI21" t="str">
        <f>_xlfn.XLOOKUP(R21,Table1[SKU_Code],Table1[Category],"Missing")</f>
        <v>Shirts</v>
      </c>
      <c r="AJ21" s="48">
        <f>SLOPE(Table17[[#This Row],[Jan]:[Dec]], {1,2,3,4,5,6,7,8,9,10,11,12})</f>
        <v>-0.11570247933884298</v>
      </c>
      <c r="AK21" s="48" t="str">
        <f>IF(Table17[[#This Row],[Slope]]&gt;5,"Growing", IF(Table17[[#This Row],[Slope]]&lt;-5,"Declining","Flat"))</f>
        <v>Flat</v>
      </c>
    </row>
    <row r="22" spans="2:37">
      <c r="B22" s="11" t="s">
        <v>52</v>
      </c>
      <c r="C22" s="12">
        <v>1</v>
      </c>
      <c r="D22" s="12"/>
      <c r="E22" s="12">
        <v>9</v>
      </c>
      <c r="F22" s="12">
        <v>5</v>
      </c>
      <c r="G22" s="12">
        <v>4</v>
      </c>
      <c r="H22" s="12">
        <v>6</v>
      </c>
      <c r="I22" s="12">
        <v>4</v>
      </c>
      <c r="J22" s="12">
        <v>1</v>
      </c>
      <c r="K22" s="12">
        <v>13</v>
      </c>
      <c r="L22" s="12">
        <v>4</v>
      </c>
      <c r="M22" s="12">
        <v>2</v>
      </c>
      <c r="N22" s="12">
        <v>5</v>
      </c>
      <c r="O22" s="12">
        <v>54</v>
      </c>
      <c r="R22" t="s">
        <v>52</v>
      </c>
      <c r="S22">
        <v>1</v>
      </c>
      <c r="U22">
        <v>9</v>
      </c>
      <c r="V22">
        <v>5</v>
      </c>
      <c r="W22">
        <v>4</v>
      </c>
      <c r="X22">
        <v>6</v>
      </c>
      <c r="Y22">
        <v>4</v>
      </c>
      <c r="Z22">
        <v>1</v>
      </c>
      <c r="AA22">
        <v>13</v>
      </c>
      <c r="AB22">
        <v>4</v>
      </c>
      <c r="AC22">
        <v>2</v>
      </c>
      <c r="AD22">
        <v>5</v>
      </c>
      <c r="AE22" s="3">
        <f>AVERAGE(S22:AD22)</f>
        <v>4.9090909090909092</v>
      </c>
      <c r="AF22">
        <f>_xlfn.STDEV.P(S22:AD22)</f>
        <v>3.3697732714273889</v>
      </c>
      <c r="AG22">
        <f>AF22/AE22</f>
        <v>0.6864352960315051</v>
      </c>
      <c r="AH22" t="str">
        <f>IF(AG22&gt;0.6, "High",IF(AG22&gt;0.3, "Moderate","Stable"))</f>
        <v>High</v>
      </c>
      <c r="AI22" t="str">
        <f>_xlfn.XLOOKUP(R22,Table1[SKU_Code],Table1[Category],"Missing")</f>
        <v>Shirts</v>
      </c>
      <c r="AJ22" s="48">
        <f>SLOPE(Table17[[#This Row],[Jan]:[Dec]], {1,2,3,4,5,6,7,8,9,10,11,12})</f>
        <v>4.8872180451127817E-2</v>
      </c>
      <c r="AK22" s="48" t="str">
        <f>IF(Table17[[#This Row],[Slope]]&gt;5,"Growing", IF(Table17[[#This Row],[Slope]]&lt;-5,"Declining","Flat"))</f>
        <v>Flat</v>
      </c>
    </row>
    <row r="23" spans="2:37">
      <c r="B23" s="11" t="s">
        <v>34</v>
      </c>
      <c r="C23" s="12">
        <v>2</v>
      </c>
      <c r="D23" s="12">
        <v>8</v>
      </c>
      <c r="E23" s="12">
        <v>0</v>
      </c>
      <c r="F23" s="12">
        <v>7</v>
      </c>
      <c r="G23" s="12">
        <v>4</v>
      </c>
      <c r="H23" s="12">
        <v>1</v>
      </c>
      <c r="I23" s="12">
        <v>6</v>
      </c>
      <c r="J23" s="12">
        <v>2</v>
      </c>
      <c r="K23" s="12">
        <v>9</v>
      </c>
      <c r="L23" s="12">
        <v>4</v>
      </c>
      <c r="M23" s="12"/>
      <c r="N23" s="12">
        <v>5</v>
      </c>
      <c r="O23" s="12">
        <v>48</v>
      </c>
      <c r="R23" t="s">
        <v>34</v>
      </c>
      <c r="S23">
        <v>2</v>
      </c>
      <c r="T23">
        <v>8</v>
      </c>
      <c r="U23">
        <v>0</v>
      </c>
      <c r="V23">
        <v>7</v>
      </c>
      <c r="W23">
        <v>4</v>
      </c>
      <c r="X23">
        <v>1</v>
      </c>
      <c r="Y23">
        <v>6</v>
      </c>
      <c r="Z23">
        <v>2</v>
      </c>
      <c r="AA23">
        <v>9</v>
      </c>
      <c r="AB23">
        <v>4</v>
      </c>
      <c r="AD23">
        <v>5</v>
      </c>
      <c r="AE23" s="3">
        <f>AVERAGE(S23:AD23)</f>
        <v>4.3636363636363633</v>
      </c>
      <c r="AF23">
        <f>_xlfn.STDEV.P(S23:AD23)</f>
        <v>2.8049542946439114</v>
      </c>
      <c r="AG23">
        <f>AF23/AE23</f>
        <v>0.64280202585589641</v>
      </c>
      <c r="AH23" t="str">
        <f>IF(AG23&gt;0.6, "High",IF(AG23&gt;0.3, "Moderate","Stable"))</f>
        <v>High</v>
      </c>
      <c r="AI23" t="str">
        <f>_xlfn.XLOOKUP(R23,Table1[SKU_Code],Table1[Category],"Missing")</f>
        <v>Shirts</v>
      </c>
      <c r="AJ23" s="48">
        <f>SLOPE(Table17[[#This Row],[Jan]:[Dec]], {1,2,3,4,5,6,7,8,9,10,11,12})</f>
        <v>0.15413533834586468</v>
      </c>
      <c r="AK23" s="48" t="str">
        <f>IF(Table17[[#This Row],[Slope]]&gt;5,"Growing", IF(Table17[[#This Row],[Slope]]&lt;-5,"Declining","Flat"))</f>
        <v>Flat</v>
      </c>
    </row>
    <row r="24" spans="2:37">
      <c r="B24" s="11" t="s">
        <v>133</v>
      </c>
      <c r="C24" s="12">
        <v>14</v>
      </c>
      <c r="D24" s="12">
        <v>4</v>
      </c>
      <c r="E24" s="12">
        <v>10</v>
      </c>
      <c r="F24" s="12">
        <v>7</v>
      </c>
      <c r="G24" s="12">
        <v>7</v>
      </c>
      <c r="H24" s="12">
        <v>1</v>
      </c>
      <c r="I24" s="12">
        <v>4</v>
      </c>
      <c r="J24" s="12">
        <v>2</v>
      </c>
      <c r="K24" s="12">
        <v>4</v>
      </c>
      <c r="L24" s="12">
        <v>3</v>
      </c>
      <c r="M24" s="12">
        <v>8</v>
      </c>
      <c r="N24" s="12">
        <v>5</v>
      </c>
      <c r="O24" s="12">
        <v>69</v>
      </c>
      <c r="R24" t="s">
        <v>133</v>
      </c>
      <c r="S24">
        <v>14</v>
      </c>
      <c r="T24">
        <v>4</v>
      </c>
      <c r="U24">
        <v>10</v>
      </c>
      <c r="V24">
        <v>7</v>
      </c>
      <c r="W24">
        <v>7</v>
      </c>
      <c r="X24">
        <v>1</v>
      </c>
      <c r="Y24">
        <v>4</v>
      </c>
      <c r="Z24">
        <v>2</v>
      </c>
      <c r="AA24">
        <v>4</v>
      </c>
      <c r="AB24">
        <v>3</v>
      </c>
      <c r="AC24">
        <v>8</v>
      </c>
      <c r="AD24">
        <v>5</v>
      </c>
      <c r="AE24" s="3">
        <f>AVERAGE(S24:AD24)</f>
        <v>5.75</v>
      </c>
      <c r="AF24">
        <f>_xlfn.STDEV.P(S24:AD24)</f>
        <v>3.5148494514938569</v>
      </c>
      <c r="AG24">
        <f>AF24/AE24</f>
        <v>0.61127816547719249</v>
      </c>
      <c r="AH24" t="str">
        <f>IF(AG24&gt;0.6, "High",IF(AG24&gt;0.3, "Moderate","Stable"))</f>
        <v>High</v>
      </c>
      <c r="AI24" t="str">
        <f>_xlfn.XLOOKUP(R24,Table1[SKU_Code],Table1[Category],"Missing")</f>
        <v>Co-ord Sets</v>
      </c>
      <c r="AJ24" s="48">
        <f>SLOPE(Table17[[#This Row],[Jan]:[Dec]], {1,2,3,4,5,6,7,8,9,10,11,12})</f>
        <v>-0.48601398601398599</v>
      </c>
      <c r="AK24" s="48" t="str">
        <f>IF(Table17[[#This Row],[Slope]]&gt;5,"Growing", IF(Table17[[#This Row],[Slope]]&lt;-5,"Declining","Flat"))</f>
        <v>Flat</v>
      </c>
    </row>
    <row r="25" spans="2:37">
      <c r="B25" s="11" t="s">
        <v>101</v>
      </c>
      <c r="C25" s="12">
        <v>2</v>
      </c>
      <c r="D25" s="12"/>
      <c r="E25" s="12">
        <v>4</v>
      </c>
      <c r="F25" s="12">
        <v>9</v>
      </c>
      <c r="G25" s="12">
        <v>2</v>
      </c>
      <c r="H25" s="12">
        <v>2</v>
      </c>
      <c r="I25" s="12">
        <v>1</v>
      </c>
      <c r="J25" s="12">
        <v>4</v>
      </c>
      <c r="K25" s="12">
        <v>5</v>
      </c>
      <c r="L25" s="12">
        <v>2</v>
      </c>
      <c r="M25" s="12">
        <v>15</v>
      </c>
      <c r="N25" s="12">
        <v>9</v>
      </c>
      <c r="O25" s="12">
        <v>55</v>
      </c>
      <c r="R25" t="s">
        <v>101</v>
      </c>
      <c r="S25">
        <v>2</v>
      </c>
      <c r="U25">
        <v>4</v>
      </c>
      <c r="V25">
        <v>9</v>
      </c>
      <c r="W25">
        <v>2</v>
      </c>
      <c r="X25">
        <v>2</v>
      </c>
      <c r="Y25">
        <v>1</v>
      </c>
      <c r="Z25">
        <v>4</v>
      </c>
      <c r="AA25">
        <v>5</v>
      </c>
      <c r="AB25">
        <v>2</v>
      </c>
      <c r="AC25">
        <v>15</v>
      </c>
      <c r="AD25">
        <v>9</v>
      </c>
      <c r="AE25" s="3">
        <f>AVERAGE(S25:AD25)</f>
        <v>5</v>
      </c>
      <c r="AF25">
        <f>_xlfn.STDEV.P(S25:AD25)</f>
        <v>4.1120665010540511</v>
      </c>
      <c r="AG25">
        <f>AF25/AE25</f>
        <v>0.82241330021081027</v>
      </c>
      <c r="AH25" t="str">
        <f>IF(AG25&gt;0.6, "High",IF(AG25&gt;0.3, "Moderate","Stable"))</f>
        <v>High</v>
      </c>
      <c r="AI25" t="str">
        <f>_xlfn.XLOOKUP(R25,Table1[SKU_Code],Table1[Category],"Missing")</f>
        <v>Co-ord Sets</v>
      </c>
      <c r="AJ25" s="48">
        <f>SLOPE(Table17[[#This Row],[Jan]:[Dec]], {1,2,3,4,5,6,7,8,9,10,11,12})</f>
        <v>0.57067669172932323</v>
      </c>
      <c r="AK25" s="48" t="str">
        <f>IF(Table17[[#This Row],[Slope]]&gt;5,"Growing", IF(Table17[[#This Row],[Slope]]&lt;-5,"Declining","Flat"))</f>
        <v>Flat</v>
      </c>
    </row>
    <row r="26" spans="2:37">
      <c r="B26" s="11" t="s">
        <v>299</v>
      </c>
      <c r="C26" s="12">
        <v>1</v>
      </c>
      <c r="D26" s="12">
        <v>1</v>
      </c>
      <c r="E26" s="12">
        <v>8</v>
      </c>
      <c r="F26" s="12"/>
      <c r="G26" s="12">
        <v>0</v>
      </c>
      <c r="H26" s="12">
        <v>4</v>
      </c>
      <c r="I26" s="12">
        <v>6</v>
      </c>
      <c r="J26" s="12">
        <v>2</v>
      </c>
      <c r="K26" s="12">
        <v>4</v>
      </c>
      <c r="L26" s="12">
        <v>6</v>
      </c>
      <c r="M26" s="12">
        <v>10</v>
      </c>
      <c r="N26" s="12">
        <v>5</v>
      </c>
      <c r="O26" s="12">
        <v>47</v>
      </c>
      <c r="R26" t="s">
        <v>299</v>
      </c>
      <c r="S26">
        <v>1</v>
      </c>
      <c r="T26">
        <v>1</v>
      </c>
      <c r="U26">
        <v>8</v>
      </c>
      <c r="W26">
        <v>0</v>
      </c>
      <c r="X26">
        <v>4</v>
      </c>
      <c r="Y26">
        <v>6</v>
      </c>
      <c r="Z26">
        <v>2</v>
      </c>
      <c r="AA26">
        <v>4</v>
      </c>
      <c r="AB26">
        <v>6</v>
      </c>
      <c r="AC26">
        <v>10</v>
      </c>
      <c r="AD26">
        <v>5</v>
      </c>
      <c r="AE26" s="3">
        <f>AVERAGE(S26:AD26)</f>
        <v>4.2727272727272725</v>
      </c>
      <c r="AF26">
        <f>_xlfn.STDEV.P(S26:AD26)</f>
        <v>2.987577586391815</v>
      </c>
      <c r="AG26">
        <f>AF26/AE26</f>
        <v>0.69922028617680776</v>
      </c>
      <c r="AH26" t="str">
        <f>IF(AG26&gt;0.6, "High",IF(AG26&gt;0.3, "Moderate","Stable"))</f>
        <v>High</v>
      </c>
      <c r="AI26" t="str">
        <f>_xlfn.XLOOKUP(R26,Table1[SKU_Code],Table1[Category],"Missing")</f>
        <v>Co-ord Sets</v>
      </c>
      <c r="AJ26" s="48">
        <f>SLOPE(Table17[[#This Row],[Jan]:[Dec]], {1,2,3,4,5,6,7,8,9,10,11,12})</f>
        <v>0.43190921228304402</v>
      </c>
      <c r="AK26" s="48" t="str">
        <f>IF(Table17[[#This Row],[Slope]]&gt;5,"Growing", IF(Table17[[#This Row],[Slope]]&lt;-5,"Declining","Flat"))</f>
        <v>Flat</v>
      </c>
    </row>
    <row r="27" spans="2:37">
      <c r="B27" s="11" t="s">
        <v>119</v>
      </c>
      <c r="C27" s="12">
        <v>6</v>
      </c>
      <c r="D27" s="12"/>
      <c r="E27" s="12">
        <v>9</v>
      </c>
      <c r="F27" s="12"/>
      <c r="G27" s="12">
        <v>2</v>
      </c>
      <c r="H27" s="12">
        <v>6</v>
      </c>
      <c r="I27" s="12">
        <v>4</v>
      </c>
      <c r="J27" s="12"/>
      <c r="K27" s="12">
        <v>4</v>
      </c>
      <c r="L27" s="12">
        <v>12</v>
      </c>
      <c r="M27" s="12">
        <v>17</v>
      </c>
      <c r="N27" s="12">
        <v>10</v>
      </c>
      <c r="O27" s="12">
        <v>70</v>
      </c>
      <c r="R27" t="s">
        <v>119</v>
      </c>
      <c r="S27">
        <v>6</v>
      </c>
      <c r="U27">
        <v>9</v>
      </c>
      <c r="W27">
        <v>2</v>
      </c>
      <c r="X27">
        <v>6</v>
      </c>
      <c r="Y27">
        <v>4</v>
      </c>
      <c r="AA27">
        <v>4</v>
      </c>
      <c r="AB27">
        <v>12</v>
      </c>
      <c r="AC27">
        <v>17</v>
      </c>
      <c r="AD27">
        <v>10</v>
      </c>
      <c r="AE27" s="3">
        <f>AVERAGE(S27:AD27)</f>
        <v>7.7777777777777777</v>
      </c>
      <c r="AF27">
        <f>_xlfn.STDEV.P(S27:AD27)</f>
        <v>4.4416657980681524</v>
      </c>
      <c r="AG27">
        <f>AF27/AE27</f>
        <v>0.57107131689447677</v>
      </c>
      <c r="AH27" t="str">
        <f>IF(AG27&gt;0.6, "High",IF(AG27&gt;0.3, "Moderate","Stable"))</f>
        <v>Moderate</v>
      </c>
      <c r="AI27" t="str">
        <f>_xlfn.XLOOKUP(R27,Table1[SKU_Code],Table1[Category],"Missing")</f>
        <v>Co-ord Sets</v>
      </c>
      <c r="AJ27" s="48">
        <f>SLOPE(Table17[[#This Row],[Jan]:[Dec]], {1,2,3,4,5,6,7,8,9,10,11,12})</f>
        <v>0.65130260521042072</v>
      </c>
      <c r="AK27" s="48" t="str">
        <f>IF(Table17[[#This Row],[Slope]]&gt;5,"Growing", IF(Table17[[#This Row],[Slope]]&lt;-5,"Declining","Flat"))</f>
        <v>Flat</v>
      </c>
    </row>
    <row r="28" spans="2:37">
      <c r="B28" s="11" t="s">
        <v>242</v>
      </c>
      <c r="C28" s="12">
        <v>5</v>
      </c>
      <c r="D28" s="12">
        <v>6</v>
      </c>
      <c r="E28" s="12">
        <v>3</v>
      </c>
      <c r="F28" s="12">
        <v>3</v>
      </c>
      <c r="G28" s="12">
        <v>7</v>
      </c>
      <c r="H28" s="12">
        <v>9</v>
      </c>
      <c r="I28" s="12">
        <v>3</v>
      </c>
      <c r="J28" s="12">
        <v>4</v>
      </c>
      <c r="K28" s="12">
        <v>4</v>
      </c>
      <c r="L28" s="12">
        <v>4</v>
      </c>
      <c r="M28" s="12">
        <v>11</v>
      </c>
      <c r="N28" s="12">
        <v>3</v>
      </c>
      <c r="O28" s="12">
        <v>62</v>
      </c>
      <c r="R28" t="s">
        <v>242</v>
      </c>
      <c r="S28">
        <v>5</v>
      </c>
      <c r="T28">
        <v>6</v>
      </c>
      <c r="U28">
        <v>3</v>
      </c>
      <c r="V28">
        <v>3</v>
      </c>
      <c r="W28">
        <v>7</v>
      </c>
      <c r="X28">
        <v>9</v>
      </c>
      <c r="Y28">
        <v>3</v>
      </c>
      <c r="Z28">
        <v>4</v>
      </c>
      <c r="AA28">
        <v>4</v>
      </c>
      <c r="AB28">
        <v>4</v>
      </c>
      <c r="AC28">
        <v>11</v>
      </c>
      <c r="AD28">
        <v>3</v>
      </c>
      <c r="AE28" s="3">
        <f>AVERAGE(S28:AD28)</f>
        <v>5.166666666666667</v>
      </c>
      <c r="AF28">
        <f>_xlfn.STDEV.P(S28:AD28)</f>
        <v>2.5110865288865605</v>
      </c>
      <c r="AG28">
        <f>AF28/AE28</f>
        <v>0.48601674752643104</v>
      </c>
      <c r="AH28" t="str">
        <f>IF(AG28&gt;0.6, "High",IF(AG28&gt;0.3, "Moderate","Stable"))</f>
        <v>Moderate</v>
      </c>
      <c r="AI28" t="str">
        <f>_xlfn.XLOOKUP(R28,Table1[SKU_Code],Table1[Category],"Missing")</f>
        <v>Skirts</v>
      </c>
      <c r="AJ28" s="48">
        <f>SLOPE(Table17[[#This Row],[Jan]:[Dec]], {1,2,3,4,5,6,7,8,9,10,11,12})</f>
        <v>6.9930069930069949E-2</v>
      </c>
      <c r="AK28" s="48" t="str">
        <f>IF(Table17[[#This Row],[Slope]]&gt;5,"Growing", IF(Table17[[#This Row],[Slope]]&lt;-5,"Declining","Flat"))</f>
        <v>Flat</v>
      </c>
    </row>
    <row r="29" spans="2:37">
      <c r="B29" s="11" t="s">
        <v>96</v>
      </c>
      <c r="C29" s="12">
        <v>3</v>
      </c>
      <c r="D29" s="12"/>
      <c r="E29" s="12">
        <v>5</v>
      </c>
      <c r="F29" s="12">
        <v>1</v>
      </c>
      <c r="G29" s="12">
        <v>2</v>
      </c>
      <c r="H29" s="12">
        <v>2</v>
      </c>
      <c r="I29" s="12">
        <v>5</v>
      </c>
      <c r="J29" s="12">
        <v>6</v>
      </c>
      <c r="K29" s="12">
        <v>11</v>
      </c>
      <c r="L29" s="12">
        <v>3</v>
      </c>
      <c r="M29" s="12">
        <v>3</v>
      </c>
      <c r="N29" s="12">
        <v>10</v>
      </c>
      <c r="O29" s="12">
        <v>51</v>
      </c>
      <c r="R29" t="s">
        <v>96</v>
      </c>
      <c r="S29">
        <v>3</v>
      </c>
      <c r="U29">
        <v>5</v>
      </c>
      <c r="V29">
        <v>1</v>
      </c>
      <c r="W29">
        <v>2</v>
      </c>
      <c r="X29">
        <v>2</v>
      </c>
      <c r="Y29">
        <v>5</v>
      </c>
      <c r="Z29">
        <v>6</v>
      </c>
      <c r="AA29">
        <v>11</v>
      </c>
      <c r="AB29">
        <v>3</v>
      </c>
      <c r="AC29">
        <v>3</v>
      </c>
      <c r="AD29">
        <v>10</v>
      </c>
      <c r="AE29" s="3">
        <f>AVERAGE(S29:AD29)</f>
        <v>4.6363636363636367</v>
      </c>
      <c r="AF29">
        <f>_xlfn.STDEV.P(S29:AD29)</f>
        <v>3.1122259579315799</v>
      </c>
      <c r="AG29">
        <f>AF29/AE29</f>
        <v>0.67126442229896821</v>
      </c>
      <c r="AH29" t="str">
        <f>IF(AG29&gt;0.6, "High",IF(AG29&gt;0.3, "Moderate","Stable"))</f>
        <v>High</v>
      </c>
      <c r="AI29" t="str">
        <f>_xlfn.XLOOKUP(R29,Table1[SKU_Code],Table1[Category],"Missing")</f>
        <v>Skirts</v>
      </c>
      <c r="AJ29" s="48">
        <f>SLOPE(Table17[[#This Row],[Jan]:[Dec]], {1,2,3,4,5,6,7,8,9,10,11,12})</f>
        <v>0.46842105263157885</v>
      </c>
      <c r="AK29" s="48" t="str">
        <f>IF(Table17[[#This Row],[Slope]]&gt;5,"Growing", IF(Table17[[#This Row],[Slope]]&lt;-5,"Declining","Flat"))</f>
        <v>Flat</v>
      </c>
    </row>
    <row r="30" spans="2:37">
      <c r="B30" s="11" t="s">
        <v>64</v>
      </c>
      <c r="C30" s="12">
        <v>4</v>
      </c>
      <c r="D30" s="12">
        <v>3</v>
      </c>
      <c r="E30" s="12">
        <v>13</v>
      </c>
      <c r="F30" s="12">
        <v>2</v>
      </c>
      <c r="G30" s="12"/>
      <c r="H30" s="12">
        <v>7</v>
      </c>
      <c r="I30" s="12">
        <v>3</v>
      </c>
      <c r="J30" s="12"/>
      <c r="K30" s="12">
        <v>4</v>
      </c>
      <c r="L30" s="12">
        <v>4</v>
      </c>
      <c r="M30" s="12">
        <v>2</v>
      </c>
      <c r="N30" s="12">
        <v>7</v>
      </c>
      <c r="O30" s="12">
        <v>49</v>
      </c>
      <c r="R30" t="s">
        <v>64</v>
      </c>
      <c r="S30">
        <v>4</v>
      </c>
      <c r="T30">
        <v>3</v>
      </c>
      <c r="U30">
        <v>13</v>
      </c>
      <c r="V30">
        <v>2</v>
      </c>
      <c r="X30">
        <v>7</v>
      </c>
      <c r="Y30">
        <v>3</v>
      </c>
      <c r="AA30">
        <v>4</v>
      </c>
      <c r="AB30">
        <v>4</v>
      </c>
      <c r="AC30">
        <v>2</v>
      </c>
      <c r="AD30">
        <v>7</v>
      </c>
      <c r="AE30" s="3">
        <f>AVERAGE(S30:AD30)</f>
        <v>4.9000000000000004</v>
      </c>
      <c r="AF30">
        <f>_xlfn.STDEV.P(S30:AD30)</f>
        <v>3.1764760348537182</v>
      </c>
      <c r="AG30">
        <f>AF30/AE30</f>
        <v>0.64826041527626899</v>
      </c>
      <c r="AH30" t="str">
        <f>IF(AG30&gt;0.6, "High",IF(AG30&gt;0.3, "Moderate","Stable"))</f>
        <v>High</v>
      </c>
      <c r="AI30" t="str">
        <f>_xlfn.XLOOKUP(R30,Table1[SKU_Code],Table1[Category],"Missing")</f>
        <v>Dresses</v>
      </c>
      <c r="AJ30" s="48">
        <f>SLOPE(Table17[[#This Row],[Jan]:[Dec]], {1,2,3,4,5,6,7,8,9,10,11,12})</f>
        <v>-0.11913357400722022</v>
      </c>
      <c r="AK30" s="48" t="str">
        <f>IF(Table17[[#This Row],[Slope]]&gt;5,"Growing", IF(Table17[[#This Row],[Slope]]&lt;-5,"Declining","Flat"))</f>
        <v>Flat</v>
      </c>
    </row>
    <row r="31" spans="2:37">
      <c r="B31" s="11" t="s">
        <v>70</v>
      </c>
      <c r="C31" s="12">
        <v>3</v>
      </c>
      <c r="D31" s="12">
        <v>5</v>
      </c>
      <c r="E31" s="12">
        <v>9</v>
      </c>
      <c r="F31" s="12">
        <v>3</v>
      </c>
      <c r="G31" s="12">
        <v>1</v>
      </c>
      <c r="H31" s="12">
        <v>1</v>
      </c>
      <c r="I31" s="12">
        <v>3</v>
      </c>
      <c r="J31" s="12">
        <v>1</v>
      </c>
      <c r="K31" s="12">
        <v>7</v>
      </c>
      <c r="L31" s="12">
        <v>4</v>
      </c>
      <c r="M31" s="12">
        <v>3</v>
      </c>
      <c r="N31" s="12">
        <v>7</v>
      </c>
      <c r="O31" s="12">
        <v>47</v>
      </c>
      <c r="R31" t="s">
        <v>70</v>
      </c>
      <c r="S31">
        <v>3</v>
      </c>
      <c r="T31">
        <v>5</v>
      </c>
      <c r="U31">
        <v>9</v>
      </c>
      <c r="V31">
        <v>3</v>
      </c>
      <c r="W31">
        <v>1</v>
      </c>
      <c r="X31">
        <v>1</v>
      </c>
      <c r="Y31">
        <v>3</v>
      </c>
      <c r="Z31">
        <v>1</v>
      </c>
      <c r="AA31">
        <v>7</v>
      </c>
      <c r="AB31">
        <v>4</v>
      </c>
      <c r="AC31">
        <v>3</v>
      </c>
      <c r="AD31">
        <v>7</v>
      </c>
      <c r="AE31" s="3">
        <f>AVERAGE(S31:AD31)</f>
        <v>3.9166666666666665</v>
      </c>
      <c r="AF31">
        <f>_xlfn.STDEV.P(S31:AD31)</f>
        <v>2.4986107250941583</v>
      </c>
      <c r="AG31">
        <f>AF31/AE31</f>
        <v>0.63794316385382765</v>
      </c>
      <c r="AH31" t="str">
        <f>IF(AG31&gt;0.6, "High",IF(AG31&gt;0.3, "Moderate","Stable"))</f>
        <v>High</v>
      </c>
      <c r="AI31" t="str">
        <f>_xlfn.XLOOKUP(R31,Table1[SKU_Code],Table1[Category],"Missing")</f>
        <v>Dresses</v>
      </c>
      <c r="AJ31" s="48">
        <f>SLOPE(Table17[[#This Row],[Jan]:[Dec]], {1,2,3,4,5,6,7,8,9,10,11,12})</f>
        <v>4.5454545454545456E-2</v>
      </c>
      <c r="AK31" s="48" t="str">
        <f>IF(Table17[[#This Row],[Slope]]&gt;5,"Growing", IF(Table17[[#This Row],[Slope]]&lt;-5,"Declining","Flat"))</f>
        <v>Flat</v>
      </c>
    </row>
    <row r="32" spans="2:37">
      <c r="B32" s="11" t="s">
        <v>144</v>
      </c>
      <c r="C32" s="12">
        <v>1</v>
      </c>
      <c r="D32" s="12"/>
      <c r="E32" s="12">
        <v>13</v>
      </c>
      <c r="F32" s="12">
        <v>4</v>
      </c>
      <c r="G32" s="12">
        <v>8</v>
      </c>
      <c r="H32" s="12">
        <v>2</v>
      </c>
      <c r="I32" s="12">
        <v>2</v>
      </c>
      <c r="J32" s="12">
        <v>2</v>
      </c>
      <c r="K32" s="12">
        <v>5</v>
      </c>
      <c r="L32" s="12">
        <v>5</v>
      </c>
      <c r="M32" s="12">
        <v>5</v>
      </c>
      <c r="N32" s="12">
        <v>12</v>
      </c>
      <c r="O32" s="12">
        <v>59</v>
      </c>
      <c r="R32" t="s">
        <v>144</v>
      </c>
      <c r="S32">
        <v>1</v>
      </c>
      <c r="U32">
        <v>13</v>
      </c>
      <c r="V32">
        <v>4</v>
      </c>
      <c r="W32">
        <v>8</v>
      </c>
      <c r="X32">
        <v>2</v>
      </c>
      <c r="Y32">
        <v>2</v>
      </c>
      <c r="Z32">
        <v>2</v>
      </c>
      <c r="AA32">
        <v>5</v>
      </c>
      <c r="AB32">
        <v>5</v>
      </c>
      <c r="AC32">
        <v>5</v>
      </c>
      <c r="AD32">
        <v>12</v>
      </c>
      <c r="AE32" s="3">
        <f>AVERAGE(S32:AD32)</f>
        <v>5.3636363636363633</v>
      </c>
      <c r="AF32">
        <f>_xlfn.STDEV.P(S32:AD32)</f>
        <v>3.8676449793059358</v>
      </c>
      <c r="AG32">
        <f>AF32/AE32</f>
        <v>0.72108635207398808</v>
      </c>
      <c r="AH32" t="str">
        <f>IF(AG32&gt;0.6, "High",IF(AG32&gt;0.3, "Moderate","Stable"))</f>
        <v>High</v>
      </c>
      <c r="AI32" t="str">
        <f>_xlfn.XLOOKUP(R32,Table1[SKU_Code],Table1[Category],"Missing")</f>
        <v>Dresses</v>
      </c>
      <c r="AJ32" s="48">
        <f>SLOPE(Table17[[#This Row],[Jan]:[Dec]], {1,2,3,4,5,6,7,8,9,10,11,12})</f>
        <v>0.20150375939849624</v>
      </c>
      <c r="AK32" s="48" t="str">
        <f>IF(Table17[[#This Row],[Slope]]&gt;5,"Growing", IF(Table17[[#This Row],[Slope]]&lt;-5,"Declining","Flat"))</f>
        <v>Flat</v>
      </c>
    </row>
    <row r="33" spans="2:37">
      <c r="B33" s="11" t="s">
        <v>184</v>
      </c>
      <c r="C33" s="12">
        <v>1</v>
      </c>
      <c r="D33" s="12"/>
      <c r="E33" s="12">
        <v>14</v>
      </c>
      <c r="F33" s="12">
        <v>4</v>
      </c>
      <c r="G33" s="12">
        <v>5</v>
      </c>
      <c r="H33" s="12">
        <v>6</v>
      </c>
      <c r="I33" s="12">
        <v>13</v>
      </c>
      <c r="J33" s="12">
        <v>3</v>
      </c>
      <c r="K33" s="12">
        <v>1</v>
      </c>
      <c r="L33" s="12">
        <v>2</v>
      </c>
      <c r="M33" s="12"/>
      <c r="N33" s="12">
        <v>6</v>
      </c>
      <c r="O33" s="12">
        <v>55</v>
      </c>
      <c r="R33" t="s">
        <v>184</v>
      </c>
      <c r="S33">
        <v>1</v>
      </c>
      <c r="U33">
        <v>14</v>
      </c>
      <c r="V33">
        <v>4</v>
      </c>
      <c r="W33">
        <v>5</v>
      </c>
      <c r="X33">
        <v>6</v>
      </c>
      <c r="Y33">
        <v>13</v>
      </c>
      <c r="Z33">
        <v>3</v>
      </c>
      <c r="AA33">
        <v>1</v>
      </c>
      <c r="AB33">
        <v>2</v>
      </c>
      <c r="AD33">
        <v>6</v>
      </c>
      <c r="AE33" s="3">
        <f>AVERAGE(S33:AD33)</f>
        <v>5.5</v>
      </c>
      <c r="AF33">
        <f>_xlfn.STDEV.P(S33:AD33)</f>
        <v>4.364630568559039</v>
      </c>
      <c r="AG33">
        <f>AF33/AE33</f>
        <v>0.79356919428346162</v>
      </c>
      <c r="AH33" t="str">
        <f>IF(AG33&gt;0.6, "High",IF(AG33&gt;0.3, "Moderate","Stable"))</f>
        <v>High</v>
      </c>
      <c r="AI33" t="str">
        <f>_xlfn.XLOOKUP(R33,Table1[SKU_Code],Table1[Category],"Missing")</f>
        <v>Dresses</v>
      </c>
      <c r="AJ33" s="48">
        <f>SLOPE(Table17[[#This Row],[Jan]:[Dec]], {1,2,3,4,5,6,7,8,9,10,11,12})</f>
        <v>-0.2097560975609756</v>
      </c>
      <c r="AK33" s="48" t="str">
        <f>IF(Table17[[#This Row],[Slope]]&gt;5,"Growing", IF(Table17[[#This Row],[Slope]]&lt;-5,"Declining","Flat"))</f>
        <v>Flat</v>
      </c>
    </row>
    <row r="34" spans="2:37">
      <c r="B34" s="11" t="s">
        <v>153</v>
      </c>
      <c r="C34" s="12">
        <v>12</v>
      </c>
      <c r="D34" s="12">
        <v>4</v>
      </c>
      <c r="E34" s="12">
        <v>5</v>
      </c>
      <c r="F34" s="12">
        <v>7</v>
      </c>
      <c r="G34" s="12"/>
      <c r="H34" s="12">
        <v>3</v>
      </c>
      <c r="I34" s="12">
        <v>2</v>
      </c>
      <c r="J34" s="12">
        <v>4</v>
      </c>
      <c r="K34" s="12">
        <v>10</v>
      </c>
      <c r="L34" s="12">
        <v>10</v>
      </c>
      <c r="M34" s="12">
        <v>9</v>
      </c>
      <c r="N34" s="12">
        <v>8</v>
      </c>
      <c r="O34" s="12">
        <v>74</v>
      </c>
      <c r="R34" t="s">
        <v>153</v>
      </c>
      <c r="S34">
        <v>12</v>
      </c>
      <c r="T34">
        <v>4</v>
      </c>
      <c r="U34">
        <v>5</v>
      </c>
      <c r="V34">
        <v>7</v>
      </c>
      <c r="X34">
        <v>3</v>
      </c>
      <c r="Y34">
        <v>2</v>
      </c>
      <c r="Z34">
        <v>4</v>
      </c>
      <c r="AA34">
        <v>10</v>
      </c>
      <c r="AB34">
        <v>10</v>
      </c>
      <c r="AC34">
        <v>9</v>
      </c>
      <c r="AD34">
        <v>8</v>
      </c>
      <c r="AE34" s="3">
        <f>AVERAGE(S34:AD34)</f>
        <v>6.7272727272727275</v>
      </c>
      <c r="AF34">
        <f>_xlfn.STDEV.P(S34:AD34)</f>
        <v>3.1648900337325836</v>
      </c>
      <c r="AG34" s="43"/>
      <c r="AH34" s="43" t="s">
        <v>1407</v>
      </c>
      <c r="AI34" t="str">
        <f>_xlfn.XLOOKUP(R34,Table1[SKU_Code],Table1[Category],"Missing")</f>
        <v>Outerwear</v>
      </c>
      <c r="AJ34" s="48">
        <f>SLOPE(Table17[[#This Row],[Jan]:[Dec]], {1,2,3,4,5,6,7,8,9,10,11,12})</f>
        <v>0.14877102199223802</v>
      </c>
      <c r="AK34" s="48" t="str">
        <f>IF(Table17[[#This Row],[Slope]]&gt;5,"Growing", IF(Table17[[#This Row],[Slope]]&lt;-5,"Declining","Flat"))</f>
        <v>Flat</v>
      </c>
    </row>
    <row r="35" spans="2:37">
      <c r="B35" s="11" t="s">
        <v>82</v>
      </c>
      <c r="C35" s="12">
        <v>4</v>
      </c>
      <c r="D35" s="12">
        <v>1</v>
      </c>
      <c r="E35" s="12">
        <v>9</v>
      </c>
      <c r="F35" s="12">
        <v>5</v>
      </c>
      <c r="G35" s="12">
        <v>1</v>
      </c>
      <c r="H35" s="12">
        <v>10</v>
      </c>
      <c r="I35" s="12">
        <v>8</v>
      </c>
      <c r="J35" s="12">
        <v>-2</v>
      </c>
      <c r="K35" s="12">
        <v>8</v>
      </c>
      <c r="L35" s="12">
        <v>2</v>
      </c>
      <c r="M35" s="12">
        <v>5</v>
      </c>
      <c r="N35" s="12">
        <v>4</v>
      </c>
      <c r="O35" s="12">
        <v>55</v>
      </c>
      <c r="R35" t="s">
        <v>82</v>
      </c>
      <c r="S35">
        <v>4</v>
      </c>
      <c r="T35">
        <v>1</v>
      </c>
      <c r="U35">
        <v>9</v>
      </c>
      <c r="V35">
        <v>5</v>
      </c>
      <c r="W35">
        <v>1</v>
      </c>
      <c r="X35">
        <v>10</v>
      </c>
      <c r="Y35">
        <v>8</v>
      </c>
      <c r="Z35">
        <v>-2</v>
      </c>
      <c r="AA35">
        <v>8</v>
      </c>
      <c r="AB35">
        <v>2</v>
      </c>
      <c r="AC35">
        <v>5</v>
      </c>
      <c r="AD35">
        <v>4</v>
      </c>
      <c r="AE35" s="3">
        <f>AVERAGE(S35:AD35)</f>
        <v>4.583333333333333</v>
      </c>
      <c r="AF35">
        <f>_xlfn.STDEV.P(S35:AD35)</f>
        <v>3.5227435646413752</v>
      </c>
      <c r="AG35">
        <f>AF35/AE35</f>
        <v>0.76859859592175461</v>
      </c>
      <c r="AH35" t="str">
        <f>IF(AG35&gt;0.6, "High",IF(AG35&gt;0.3, "Moderate","Stable"))</f>
        <v>High</v>
      </c>
      <c r="AI35" t="str">
        <f>_xlfn.XLOOKUP(R35,Table1[SKU_Code],Table1[Category],"Missing")</f>
        <v>Outerwear</v>
      </c>
      <c r="AJ35" s="48">
        <f>SLOPE(Table17[[#This Row],[Jan]:[Dec]], {1,2,3,4,5,6,7,8,9,10,11,12})</f>
        <v>-3.1468531468531458E-2</v>
      </c>
      <c r="AK35" s="48" t="str">
        <f>IF(Table17[[#This Row],[Slope]]&gt;5,"Growing", IF(Table17[[#This Row],[Slope]]&lt;-5,"Declining","Flat"))</f>
        <v>Flat</v>
      </c>
    </row>
    <row r="36" spans="2:37">
      <c r="B36" s="11" t="s">
        <v>18</v>
      </c>
      <c r="C36" s="12">
        <v>5</v>
      </c>
      <c r="D36" s="12">
        <v>2</v>
      </c>
      <c r="E36" s="12">
        <v>1</v>
      </c>
      <c r="F36" s="12">
        <v>3</v>
      </c>
      <c r="G36" s="12">
        <v>3</v>
      </c>
      <c r="H36" s="12">
        <v>11</v>
      </c>
      <c r="I36" s="12">
        <v>2</v>
      </c>
      <c r="J36" s="12"/>
      <c r="K36" s="12"/>
      <c r="L36" s="12"/>
      <c r="M36" s="12">
        <v>8</v>
      </c>
      <c r="N36" s="12">
        <v>12</v>
      </c>
      <c r="O36" s="12">
        <v>47</v>
      </c>
      <c r="R36" t="s">
        <v>18</v>
      </c>
      <c r="S36">
        <v>5</v>
      </c>
      <c r="T36">
        <v>2</v>
      </c>
      <c r="U36">
        <v>1</v>
      </c>
      <c r="V36">
        <v>3</v>
      </c>
      <c r="W36">
        <v>3</v>
      </c>
      <c r="X36">
        <v>11</v>
      </c>
      <c r="Y36">
        <v>2</v>
      </c>
      <c r="AC36">
        <v>8</v>
      </c>
      <c r="AD36">
        <v>12</v>
      </c>
      <c r="AE36" s="3">
        <f>AVERAGE(S36:AD36)</f>
        <v>5.2222222222222223</v>
      </c>
      <c r="AF36">
        <f>_xlfn.STDEV.P(S36:AD36)</f>
        <v>3.8809442659051068</v>
      </c>
      <c r="AG36">
        <f>AF36/AE36</f>
        <v>0.74315954027970133</v>
      </c>
      <c r="AH36" t="str">
        <f>IF(AG36&gt;0.6, "High",IF(AG36&gt;0.3, "Moderate","Stable"))</f>
        <v>High</v>
      </c>
      <c r="AI36" t="str">
        <f>_xlfn.XLOOKUP(R36,Table1[SKU_Code],Table1[Category],"Missing")</f>
        <v>Knitwear</v>
      </c>
      <c r="AJ36" s="48">
        <f>SLOPE(Table17[[#This Row],[Jan]:[Dec]], {1,2,3,4,5,6,7,8,9,10,11,12})</f>
        <v>0.72988505747126442</v>
      </c>
      <c r="AK36" s="48" t="str">
        <f>IF(Table17[[#This Row],[Slope]]&gt;5,"Growing", IF(Table17[[#This Row],[Slope]]&lt;-5,"Declining","Flat"))</f>
        <v>Flat</v>
      </c>
    </row>
    <row r="37" spans="2:37">
      <c r="B37" s="11" t="s">
        <v>122</v>
      </c>
      <c r="C37" s="12"/>
      <c r="D37" s="12">
        <v>2</v>
      </c>
      <c r="E37" s="12">
        <v>9</v>
      </c>
      <c r="F37" s="12">
        <v>9</v>
      </c>
      <c r="G37" s="12">
        <v>3</v>
      </c>
      <c r="H37" s="12"/>
      <c r="I37" s="12">
        <v>3</v>
      </c>
      <c r="J37" s="12">
        <v>2</v>
      </c>
      <c r="K37" s="12">
        <v>3</v>
      </c>
      <c r="L37" s="12">
        <v>1</v>
      </c>
      <c r="M37" s="12">
        <v>2</v>
      </c>
      <c r="N37" s="12">
        <v>16</v>
      </c>
      <c r="O37" s="12">
        <v>50</v>
      </c>
      <c r="R37" t="s">
        <v>122</v>
      </c>
      <c r="T37">
        <v>2</v>
      </c>
      <c r="U37">
        <v>9</v>
      </c>
      <c r="V37">
        <v>9</v>
      </c>
      <c r="W37">
        <v>3</v>
      </c>
      <c r="Y37">
        <v>3</v>
      </c>
      <c r="Z37">
        <v>2</v>
      </c>
      <c r="AA37">
        <v>3</v>
      </c>
      <c r="AB37">
        <v>1</v>
      </c>
      <c r="AC37">
        <v>2</v>
      </c>
      <c r="AD37">
        <v>16</v>
      </c>
      <c r="AE37" s="3">
        <f>AVERAGE(S37:AD37)</f>
        <v>5</v>
      </c>
      <c r="AF37">
        <f>_xlfn.STDEV.P(S37:AD37)</f>
        <v>4.5607017003965522</v>
      </c>
      <c r="AG37">
        <f>AF37/AE37</f>
        <v>0.91214034007931044</v>
      </c>
      <c r="AH37" t="str">
        <f>IF(AG37&gt;0.6, "High",IF(AG37&gt;0.3, "Moderate","Stable"))</f>
        <v>High</v>
      </c>
      <c r="AI37" t="str">
        <f>_xlfn.XLOOKUP(R37,Table1[SKU_Code],Table1[Category],"Missing")</f>
        <v>Pyjamas</v>
      </c>
      <c r="AJ37" s="48">
        <f>SLOPE(Table17[[#This Row],[Jan]:[Dec]], {1,2,3,4,5,6,7,8,9,10,11,12})</f>
        <v>0.13774104683195593</v>
      </c>
      <c r="AK37" s="48" t="str">
        <f>IF(Table17[[#This Row],[Slope]]&gt;5,"Growing", IF(Table17[[#This Row],[Slope]]&lt;-5,"Declining","Flat"))</f>
        <v>Flat</v>
      </c>
    </row>
    <row r="38" spans="2:37">
      <c r="B38" s="11" t="s">
        <v>55</v>
      </c>
      <c r="C38" s="12">
        <v>2</v>
      </c>
      <c r="D38" s="12">
        <v>7</v>
      </c>
      <c r="E38" s="12">
        <v>16</v>
      </c>
      <c r="F38" s="12">
        <v>3</v>
      </c>
      <c r="G38" s="12">
        <v>2</v>
      </c>
      <c r="H38" s="12">
        <v>5</v>
      </c>
      <c r="I38" s="12">
        <v>7</v>
      </c>
      <c r="J38" s="12">
        <v>1</v>
      </c>
      <c r="K38" s="12">
        <v>6</v>
      </c>
      <c r="L38" s="12">
        <v>9</v>
      </c>
      <c r="M38" s="12">
        <v>2</v>
      </c>
      <c r="N38" s="12">
        <v>4</v>
      </c>
      <c r="O38" s="12">
        <v>64</v>
      </c>
      <c r="R38" t="s">
        <v>55</v>
      </c>
      <c r="S38">
        <v>2</v>
      </c>
      <c r="T38">
        <v>7</v>
      </c>
      <c r="U38">
        <v>16</v>
      </c>
      <c r="V38">
        <v>3</v>
      </c>
      <c r="W38">
        <v>2</v>
      </c>
      <c r="X38">
        <v>5</v>
      </c>
      <c r="Y38">
        <v>7</v>
      </c>
      <c r="Z38">
        <v>1</v>
      </c>
      <c r="AA38">
        <v>6</v>
      </c>
      <c r="AB38">
        <v>9</v>
      </c>
      <c r="AC38">
        <v>2</v>
      </c>
      <c r="AD38">
        <v>4</v>
      </c>
      <c r="AE38" s="3">
        <f>AVERAGE(S38:AD38)</f>
        <v>5.333333333333333</v>
      </c>
      <c r="AF38">
        <f>_xlfn.STDEV.P(S38:AD38)</f>
        <v>4.0069384267237691</v>
      </c>
      <c r="AG38">
        <f>AF38/AE38</f>
        <v>0.75130095501070671</v>
      </c>
      <c r="AH38" t="str">
        <f>IF(AG38&gt;0.6, "High",IF(AG38&gt;0.3, "Moderate","Stable"))</f>
        <v>High</v>
      </c>
      <c r="AI38" t="str">
        <f>_xlfn.XLOOKUP(R38,Table1[SKU_Code],Table1[Category],"Missing")</f>
        <v>Basics</v>
      </c>
      <c r="AJ38" s="48">
        <f>SLOPE(Table17[[#This Row],[Jan]:[Dec]], {1,2,3,4,5,6,7,8,9,10,11,12})</f>
        <v>-0.20279720279720281</v>
      </c>
      <c r="AK38" s="48" t="str">
        <f>IF(Table17[[#This Row],[Slope]]&gt;5,"Growing", IF(Table17[[#This Row],[Slope]]&lt;-5,"Declining","Flat"))</f>
        <v>Flat</v>
      </c>
    </row>
    <row r="39" spans="2:37">
      <c r="B39" s="11" t="s">
        <v>108</v>
      </c>
      <c r="C39" s="12">
        <v>6</v>
      </c>
      <c r="D39" s="12"/>
      <c r="E39" s="12">
        <v>8</v>
      </c>
      <c r="F39" s="12">
        <v>5</v>
      </c>
      <c r="G39" s="12">
        <v>1</v>
      </c>
      <c r="H39" s="12">
        <v>1</v>
      </c>
      <c r="I39" s="12">
        <v>3</v>
      </c>
      <c r="J39" s="12">
        <v>5</v>
      </c>
      <c r="K39" s="12">
        <v>10</v>
      </c>
      <c r="L39" s="12">
        <v>5</v>
      </c>
      <c r="M39" s="12">
        <v>5</v>
      </c>
      <c r="N39" s="12">
        <v>9</v>
      </c>
      <c r="O39" s="12">
        <v>58</v>
      </c>
      <c r="R39" t="s">
        <v>108</v>
      </c>
      <c r="S39">
        <v>6</v>
      </c>
      <c r="U39">
        <v>8</v>
      </c>
      <c r="V39">
        <v>5</v>
      </c>
      <c r="W39">
        <v>1</v>
      </c>
      <c r="X39">
        <v>1</v>
      </c>
      <c r="Y39">
        <v>3</v>
      </c>
      <c r="Z39">
        <v>5</v>
      </c>
      <c r="AA39">
        <v>10</v>
      </c>
      <c r="AB39">
        <v>5</v>
      </c>
      <c r="AC39">
        <v>5</v>
      </c>
      <c r="AD39">
        <v>9</v>
      </c>
      <c r="AE39" s="3">
        <f>AVERAGE(S39:AD39)</f>
        <v>5.2727272727272725</v>
      </c>
      <c r="AF39">
        <f>_xlfn.STDEV.P(S39:AD39)</f>
        <v>2.7990553306073913</v>
      </c>
      <c r="AG39">
        <f>AF39/AE39</f>
        <v>0.53085532132209146</v>
      </c>
      <c r="AH39" t="str">
        <f>IF(AG39&gt;0.6, "High",IF(AG39&gt;0.3, "Moderate","Stable"))</f>
        <v>Moderate</v>
      </c>
      <c r="AI39" t="str">
        <f>_xlfn.XLOOKUP(R39,Table1[SKU_Code],Table1[Category],"Missing")</f>
        <v>Basics</v>
      </c>
      <c r="AJ39" s="48">
        <f>SLOPE(Table17[[#This Row],[Jan]:[Dec]], {1,2,3,4,5,6,7,8,9,10,11,12})</f>
        <v>0.2007518796992481</v>
      </c>
      <c r="AK39" s="48" t="str">
        <f>IF(Table17[[#This Row],[Slope]]&gt;5,"Growing", IF(Table17[[#This Row],[Slope]]&lt;-5,"Declining","Flat"))</f>
        <v>Flat</v>
      </c>
    </row>
    <row r="40" spans="2:37">
      <c r="B40" s="11" t="s">
        <v>162</v>
      </c>
      <c r="C40" s="12">
        <v>1</v>
      </c>
      <c r="D40" s="12"/>
      <c r="E40" s="12">
        <v>8</v>
      </c>
      <c r="F40" s="12">
        <v>7</v>
      </c>
      <c r="G40" s="12">
        <v>1</v>
      </c>
      <c r="H40" s="12">
        <v>11</v>
      </c>
      <c r="I40" s="12">
        <v>1</v>
      </c>
      <c r="J40" s="12">
        <v>14</v>
      </c>
      <c r="K40" s="12">
        <v>3</v>
      </c>
      <c r="L40" s="12">
        <v>5</v>
      </c>
      <c r="M40" s="12">
        <v>10</v>
      </c>
      <c r="N40" s="12">
        <v>10</v>
      </c>
      <c r="O40" s="12">
        <v>71</v>
      </c>
      <c r="R40" t="s">
        <v>162</v>
      </c>
      <c r="S40">
        <v>1</v>
      </c>
      <c r="U40">
        <v>8</v>
      </c>
      <c r="V40">
        <v>7</v>
      </c>
      <c r="W40">
        <v>1</v>
      </c>
      <c r="X40">
        <v>11</v>
      </c>
      <c r="Y40">
        <v>1</v>
      </c>
      <c r="Z40">
        <v>14</v>
      </c>
      <c r="AA40">
        <v>3</v>
      </c>
      <c r="AB40">
        <v>5</v>
      </c>
      <c r="AC40">
        <v>10</v>
      </c>
      <c r="AD40">
        <v>10</v>
      </c>
      <c r="AE40" s="3">
        <f>AVERAGE(S40:AD40)</f>
        <v>6.4545454545454541</v>
      </c>
      <c r="AF40">
        <f>_xlfn.STDEV.P(S40:AD40)</f>
        <v>4.3560540184403411</v>
      </c>
      <c r="AG40">
        <f>AF40/AE40</f>
        <v>0.67488160849075707</v>
      </c>
      <c r="AH40" t="str">
        <f>IF(AG40&gt;0.6, "High",IF(AG40&gt;0.3, "Moderate","Stable"))</f>
        <v>High</v>
      </c>
      <c r="AI40" t="str">
        <f>_xlfn.XLOOKUP(R40,Table1[SKU_Code],Table1[Category],"Missing")</f>
        <v>Basics</v>
      </c>
      <c r="AJ40" s="48">
        <f>SLOPE(Table17[[#This Row],[Jan]:[Dec]], {1,2,3,4,5,6,7,8,9,10,11,12})</f>
        <v>0.49172932330827068</v>
      </c>
      <c r="AK40" s="48" t="str">
        <f>IF(Table17[[#This Row],[Slope]]&gt;5,"Growing", IF(Table17[[#This Row],[Slope]]&lt;-5,"Declining","Flat"))</f>
        <v>Flat</v>
      </c>
    </row>
    <row r="41" spans="2:37">
      <c r="B41" s="11" t="s">
        <v>147</v>
      </c>
      <c r="C41" s="12">
        <v>-2</v>
      </c>
      <c r="D41" s="12">
        <v>3</v>
      </c>
      <c r="E41" s="12">
        <v>6</v>
      </c>
      <c r="F41" s="12">
        <v>3</v>
      </c>
      <c r="G41" s="12"/>
      <c r="H41" s="12">
        <v>10</v>
      </c>
      <c r="I41" s="12">
        <v>7</v>
      </c>
      <c r="J41" s="12">
        <v>3</v>
      </c>
      <c r="K41" s="12">
        <v>2</v>
      </c>
      <c r="L41" s="12">
        <v>2</v>
      </c>
      <c r="M41" s="12">
        <v>4</v>
      </c>
      <c r="N41" s="12">
        <v>3</v>
      </c>
      <c r="O41" s="12">
        <v>41</v>
      </c>
      <c r="R41" t="s">
        <v>147</v>
      </c>
      <c r="S41">
        <v>-2</v>
      </c>
      <c r="T41">
        <v>3</v>
      </c>
      <c r="U41">
        <v>6</v>
      </c>
      <c r="V41">
        <v>3</v>
      </c>
      <c r="X41">
        <v>10</v>
      </c>
      <c r="Y41">
        <v>7</v>
      </c>
      <c r="Z41">
        <v>3</v>
      </c>
      <c r="AA41">
        <v>2</v>
      </c>
      <c r="AB41">
        <v>2</v>
      </c>
      <c r="AC41">
        <v>4</v>
      </c>
      <c r="AD41">
        <v>3</v>
      </c>
      <c r="AE41" s="3">
        <f>AVERAGE(S41:AD41)</f>
        <v>3.7272727272727271</v>
      </c>
      <c r="AF41">
        <f>_xlfn.STDEV.P(S41:AD41)</f>
        <v>2.9569919940528351</v>
      </c>
      <c r="AG41">
        <f>AF41/AE41</f>
        <v>0.79333931547758996</v>
      </c>
      <c r="AH41" t="str">
        <f>IF(AG41&gt;0.6, "High",IF(AG41&gt;0.3, "Moderate","Stable"))</f>
        <v>High</v>
      </c>
      <c r="AI41" t="str">
        <f>_xlfn.XLOOKUP(R41,Table1[SKU_Code],Table1[Category],"Missing")</f>
        <v>Dresses</v>
      </c>
      <c r="AJ41" s="48">
        <f>SLOPE(Table17[[#This Row],[Jan]:[Dec]], {1,2,3,4,5,6,7,8,9,10,11,12})</f>
        <v>9.1849935316946948E-2</v>
      </c>
      <c r="AK41" s="48" t="str">
        <f>IF(Table17[[#This Row],[Slope]]&gt;5,"Growing", IF(Table17[[#This Row],[Slope]]&lt;-5,"Declining","Flat"))</f>
        <v>Flat</v>
      </c>
    </row>
    <row r="42" spans="2:37">
      <c r="B42" s="11" t="s">
        <v>90</v>
      </c>
      <c r="C42" s="12">
        <v>10</v>
      </c>
      <c r="D42" s="12">
        <v>2</v>
      </c>
      <c r="E42" s="12">
        <v>6</v>
      </c>
      <c r="F42" s="12">
        <v>3</v>
      </c>
      <c r="G42" s="12">
        <v>2</v>
      </c>
      <c r="H42" s="12">
        <v>4</v>
      </c>
      <c r="I42" s="12">
        <v>6</v>
      </c>
      <c r="J42" s="12"/>
      <c r="K42" s="12">
        <v>2</v>
      </c>
      <c r="L42" s="12">
        <v>6</v>
      </c>
      <c r="M42" s="12">
        <v>5</v>
      </c>
      <c r="N42" s="12">
        <v>7</v>
      </c>
      <c r="O42" s="12">
        <v>53</v>
      </c>
      <c r="R42" t="s">
        <v>90</v>
      </c>
      <c r="S42">
        <v>10</v>
      </c>
      <c r="T42">
        <v>2</v>
      </c>
      <c r="U42">
        <v>6</v>
      </c>
      <c r="V42">
        <v>3</v>
      </c>
      <c r="W42">
        <v>2</v>
      </c>
      <c r="X42">
        <v>4</v>
      </c>
      <c r="Y42">
        <v>6</v>
      </c>
      <c r="AA42">
        <v>2</v>
      </c>
      <c r="AB42">
        <v>6</v>
      </c>
      <c r="AC42">
        <v>5</v>
      </c>
      <c r="AD42">
        <v>7</v>
      </c>
      <c r="AE42" s="3">
        <f>AVERAGE(S42:AD42)</f>
        <v>4.8181818181818183</v>
      </c>
      <c r="AF42">
        <f>_xlfn.STDEV.P(S42:AD42)</f>
        <v>2.4052284646041735</v>
      </c>
      <c r="AG42">
        <f>AF42/AE42</f>
        <v>0.4991983605782247</v>
      </c>
      <c r="AH42" t="str">
        <f>IF(AG42&gt;0.6, "High",IF(AG42&gt;0.3, "Moderate","Stable"))</f>
        <v>Moderate</v>
      </c>
      <c r="AI42" t="str">
        <f>_xlfn.XLOOKUP(R42,Table1[SKU_Code],Table1[Category],"Missing")</f>
        <v>Co-ord Sets</v>
      </c>
      <c r="AJ42" s="48">
        <f>SLOPE(Table17[[#This Row],[Jan]:[Dec]], {1,2,3,4,5,6,7,8,9,10,11,12})</f>
        <v>-1.9404915912030838E-3</v>
      </c>
      <c r="AK42" s="48" t="str">
        <f>IF(Table17[[#This Row],[Slope]]&gt;5,"Growing", IF(Table17[[#This Row],[Slope]]&lt;-5,"Declining","Flat"))</f>
        <v>Flat</v>
      </c>
    </row>
    <row r="43" spans="2:37">
      <c r="B43" s="11" t="s">
        <v>23</v>
      </c>
      <c r="C43" s="12">
        <v>1</v>
      </c>
      <c r="D43" s="12">
        <v>2</v>
      </c>
      <c r="E43" s="12">
        <v>4</v>
      </c>
      <c r="F43" s="12"/>
      <c r="G43" s="12">
        <v>8</v>
      </c>
      <c r="H43" s="12">
        <v>3</v>
      </c>
      <c r="I43" s="12">
        <v>4</v>
      </c>
      <c r="J43" s="12">
        <v>3</v>
      </c>
      <c r="K43" s="12">
        <v>4</v>
      </c>
      <c r="L43" s="12">
        <v>6</v>
      </c>
      <c r="M43" s="12">
        <v>2</v>
      </c>
      <c r="N43" s="12">
        <v>10</v>
      </c>
      <c r="O43" s="12">
        <v>47</v>
      </c>
      <c r="R43" t="s">
        <v>23</v>
      </c>
      <c r="S43">
        <v>1</v>
      </c>
      <c r="T43">
        <v>2</v>
      </c>
      <c r="U43">
        <v>4</v>
      </c>
      <c r="W43">
        <v>8</v>
      </c>
      <c r="X43">
        <v>3</v>
      </c>
      <c r="Y43">
        <v>4</v>
      </c>
      <c r="Z43">
        <v>3</v>
      </c>
      <c r="AA43">
        <v>4</v>
      </c>
      <c r="AB43">
        <v>6</v>
      </c>
      <c r="AC43">
        <v>2</v>
      </c>
      <c r="AD43">
        <v>10</v>
      </c>
      <c r="AE43" s="3">
        <f>AVERAGE(S43:AD43)</f>
        <v>4.2727272727272725</v>
      </c>
      <c r="AF43">
        <f>_xlfn.STDEV.P(S43:AD43)</f>
        <v>2.5968830649246728</v>
      </c>
      <c r="AG43">
        <f>AF43/AE43</f>
        <v>0.60778114285471074</v>
      </c>
      <c r="AH43" t="str">
        <f>IF(AG43&gt;0.6, "High",IF(AG43&gt;0.3, "Moderate","Stable"))</f>
        <v>High</v>
      </c>
      <c r="AI43" t="str">
        <f>_xlfn.XLOOKUP(R43,Table1[SKU_Code],Table1[Category],"Missing")</f>
        <v>Bottoms</v>
      </c>
      <c r="AJ43" s="48">
        <f>SLOPE(Table17[[#This Row],[Jan]:[Dec]], {1,2,3,4,5,6,7,8,9,10,11,12})</f>
        <v>0.35847797062750336</v>
      </c>
      <c r="AK43" s="48" t="str">
        <f>IF(Table17[[#This Row],[Slope]]&gt;5,"Growing", IF(Table17[[#This Row],[Slope]]&lt;-5,"Declining","Flat"))</f>
        <v>Flat</v>
      </c>
    </row>
    <row r="44" spans="2:37">
      <c r="B44" s="11" t="s">
        <v>1380</v>
      </c>
      <c r="C44" s="12">
        <v>138</v>
      </c>
      <c r="D44" s="12">
        <v>124</v>
      </c>
      <c r="E44" s="12">
        <v>302</v>
      </c>
      <c r="F44" s="12">
        <v>149</v>
      </c>
      <c r="G44" s="12">
        <v>125</v>
      </c>
      <c r="H44" s="12">
        <v>171</v>
      </c>
      <c r="I44" s="12">
        <v>189</v>
      </c>
      <c r="J44" s="12">
        <v>110</v>
      </c>
      <c r="K44" s="12">
        <v>218</v>
      </c>
      <c r="L44" s="12">
        <v>188</v>
      </c>
      <c r="M44" s="12">
        <v>239</v>
      </c>
      <c r="N44" s="12">
        <v>248</v>
      </c>
      <c r="O44" s="12">
        <v>2201</v>
      </c>
      <c r="AE44" s="3"/>
      <c r="AJ44" s="48"/>
      <c r="AK44" s="48"/>
    </row>
  </sheetData>
  <autoFilter ref="AM3:AO14" xr:uid="{9F4ED87C-0ED9-4607-BFF4-F5CA11834234}"/>
  <phoneticPr fontId="7" type="noConversion"/>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A48C-1303-4804-9BBE-643BFB9C3B04}">
  <dimension ref="A1:M41"/>
  <sheetViews>
    <sheetView zoomScale="87" zoomScaleNormal="87" workbookViewId="0">
      <selection activeCell="A2" sqref="A2:XFD2"/>
    </sheetView>
  </sheetViews>
  <sheetFormatPr defaultRowHeight="14.25"/>
  <cols>
    <col min="1" max="1" width="9.265625" bestFit="1" customWidth="1"/>
    <col min="2" max="2" width="19.3984375" bestFit="1" customWidth="1"/>
    <col min="3" max="3" width="11" bestFit="1" customWidth="1"/>
    <col min="4" max="4" width="16.9296875" bestFit="1" customWidth="1"/>
    <col min="5" max="5" width="7.1328125" bestFit="1" customWidth="1"/>
    <col min="6" max="6" width="9" bestFit="1" customWidth="1"/>
    <col min="7" max="7" width="8.73046875" bestFit="1" customWidth="1"/>
    <col min="9" max="9" width="4.33203125" bestFit="1" customWidth="1"/>
    <col min="10" max="10" width="9" bestFit="1" customWidth="1"/>
    <col min="11" max="11" width="8.73046875" bestFit="1" customWidth="1"/>
    <col min="12" max="12" width="8.796875" bestFit="1" customWidth="1"/>
    <col min="13" max="13" width="11.796875" bestFit="1" customWidth="1"/>
  </cols>
  <sheetData>
    <row r="1" spans="1:13" ht="28.5">
      <c r="A1" s="49" t="s">
        <v>1269</v>
      </c>
      <c r="B1" s="49" t="s">
        <v>1470</v>
      </c>
      <c r="C1" s="49" t="s">
        <v>3</v>
      </c>
      <c r="D1" s="49" t="s">
        <v>1471</v>
      </c>
      <c r="E1" s="49" t="s">
        <v>1404</v>
      </c>
      <c r="F1" s="49" t="s">
        <v>1472</v>
      </c>
      <c r="G1" s="49" t="s">
        <v>1473</v>
      </c>
      <c r="H1" s="49" t="s">
        <v>1474</v>
      </c>
      <c r="I1" s="49" t="s">
        <v>1475</v>
      </c>
      <c r="J1" s="49" t="s">
        <v>1307</v>
      </c>
      <c r="K1" s="49" t="s">
        <v>1308</v>
      </c>
      <c r="L1" s="49" t="s">
        <v>1476</v>
      </c>
      <c r="M1" s="49" t="s">
        <v>1477</v>
      </c>
    </row>
    <row r="2" spans="1:13">
      <c r="A2" t="s">
        <v>88</v>
      </c>
      <c r="B2" t="str">
        <f>_xlfn.XLOOKUP(A2,Table1[SKU_Code],Table1[Product_Name],"Missing")</f>
        <v>Beige Co-ord Set</v>
      </c>
      <c r="C2" t="str">
        <f>_xlfn.XLOOKUP(A2,Table1[SKU_Code],Table1[Category],"Missing")</f>
        <v>Co-ord Sets</v>
      </c>
      <c r="D2" s="3">
        <f>_xlfn.XLOOKUP(A2,Table17[Row Labels],Table17[Average Monthly Qty],"Missing")</f>
        <v>3.7272727272727271</v>
      </c>
      <c r="E2" s="3">
        <f>_xlfn.XLOOKUP(A2,Table17[Row Labels],Table17[Std Dev],"Missing")</f>
        <v>2.4896479886598462</v>
      </c>
      <c r="F2">
        <f>IF(D2="Missing","Missing",ROUND(D2/30,2))</f>
        <v>0.12</v>
      </c>
      <c r="G2">
        <v>14</v>
      </c>
      <c r="H2">
        <f>ROUND(1.65*E2*SQRT(G2/30),0)</f>
        <v>3</v>
      </c>
      <c r="I2">
        <f>ROUND((F2*G2)+H2,0)</f>
        <v>5</v>
      </c>
      <c r="J2">
        <f>_xlfn.LET(_xlpm.x,_xlfn.XLOOKUP(A2,Table2[SKU_Code],Table2[Units_On_Hand],""),IF(_xlpm.x="","Missing",_xlpm.x))</f>
        <v>3</v>
      </c>
      <c r="K2">
        <f>_xlfn.LET(_xlpm.x,_xlfn.XLOOKUP(A2,Table2[SKU_Code],Table2[Reorder_Lvl],""),IF(_xlpm.x="","Missing",_xlpm.x))</f>
        <v>8</v>
      </c>
      <c r="L2">
        <f>IF(OR(J2="Missing",F2=0),"Missing",ROUND(J2/F2,0))</f>
        <v>25</v>
      </c>
      <c r="M2" t="str">
        <f>IF(J2="Missing","Missing",IF(J2&lt;I2,"Reorder Now","OK"))</f>
        <v>Reorder Now</v>
      </c>
    </row>
    <row r="3" spans="1:13">
      <c r="A3" t="s">
        <v>215</v>
      </c>
      <c r="B3" t="str">
        <f>_xlfn.XLOOKUP(A3,Table1[SKU_Code],Table1[Product_Name],"Missing")</f>
        <v>Beige Co-ord Set</v>
      </c>
      <c r="C3" t="str">
        <f>_xlfn.XLOOKUP(A3,Table1[SKU_Code],Table1[Category],"Missing")</f>
        <v>Co-ord Sets</v>
      </c>
      <c r="D3" s="3">
        <f>_xlfn.XLOOKUP(A3,Table17[Row Labels],Table17[Average Monthly Qty],"Missing")</f>
        <v>5.75</v>
      </c>
      <c r="E3" s="3">
        <f>_xlfn.XLOOKUP(A3,Table17[Row Labels],Table17[Std Dev],"Missing")</f>
        <v>4.1857894516247862</v>
      </c>
      <c r="F3">
        <f t="shared" ref="F3:F41" si="0">IF(D3="Missing","Missing",ROUND(D3/30,2))</f>
        <v>0.19</v>
      </c>
      <c r="G3">
        <v>14</v>
      </c>
      <c r="H3">
        <f t="shared" ref="H3:H41" si="1">ROUND(1.65*E3*SQRT(G3/30),0)</f>
        <v>5</v>
      </c>
      <c r="I3">
        <f t="shared" ref="I3:I41" si="2">ROUND((F3*G3)+H3,0)</f>
        <v>8</v>
      </c>
      <c r="J3">
        <f>_xlfn.LET(_xlpm.x,_xlfn.XLOOKUP(A3,Table2[SKU_Code],Table2[Units_On_Hand],""),IF(_xlpm.x="","Missing",_xlpm.x))</f>
        <v>23</v>
      </c>
      <c r="K3">
        <f>_xlfn.LET(_xlpm.x,_xlfn.XLOOKUP(A3,Table2[SKU_Code],Table2[Reorder_Lvl],""),IF(_xlpm.x="","Missing",_xlpm.x))</f>
        <v>5</v>
      </c>
      <c r="L3">
        <f t="shared" ref="L3:L41" si="3">IF(OR(J3="Missing",F3=0),"Missing",ROUND(J3/F3,0))</f>
        <v>121</v>
      </c>
      <c r="M3" t="str">
        <f t="shared" ref="M3:M41" si="4">IF(J3="Missing","Missing",IF(J3&lt;I3,"Reorder Now","OK"))</f>
        <v>OK</v>
      </c>
    </row>
    <row r="4" spans="1:13">
      <c r="A4" t="s">
        <v>15</v>
      </c>
      <c r="B4" t="str">
        <f>_xlfn.XLOOKUP(A4,Table1[SKU_Code],Table1[Product_Name],"Missing")</f>
        <v>Beige Co-ord Set</v>
      </c>
      <c r="C4" t="str">
        <f>_xlfn.XLOOKUP(A4,Table1[SKU_Code],Table1[Category],"Missing")</f>
        <v>Co-ord Sets</v>
      </c>
      <c r="D4" s="3">
        <f>_xlfn.XLOOKUP(A4,Table17[Row Labels],Table17[Average Monthly Qty],"Missing")</f>
        <v>5.6363636363636367</v>
      </c>
      <c r="E4" s="3">
        <f>_xlfn.XLOOKUP(A4,Table17[Row Labels],Table17[Std Dev],"Missing")</f>
        <v>3.7239452996843716</v>
      </c>
      <c r="F4">
        <f t="shared" si="0"/>
        <v>0.19</v>
      </c>
      <c r="G4">
        <v>14</v>
      </c>
      <c r="H4">
        <f t="shared" si="1"/>
        <v>4</v>
      </c>
      <c r="I4">
        <f t="shared" si="2"/>
        <v>7</v>
      </c>
      <c r="J4">
        <f>_xlfn.LET(_xlpm.x,_xlfn.XLOOKUP(A4,Table2[SKU_Code],Table2[Units_On_Hand],""),IF(_xlpm.x="","Missing",_xlpm.x))</f>
        <v>4</v>
      </c>
      <c r="K4">
        <f>_xlfn.LET(_xlpm.x,_xlfn.XLOOKUP(A4,Table2[SKU_Code],Table2[Reorder_Lvl],""),IF(_xlpm.x="","Missing",_xlpm.x))</f>
        <v>10</v>
      </c>
      <c r="L4">
        <f t="shared" si="3"/>
        <v>21</v>
      </c>
      <c r="M4" t="str">
        <f t="shared" si="4"/>
        <v>Reorder Now</v>
      </c>
    </row>
    <row r="5" spans="1:13">
      <c r="A5" t="s">
        <v>49</v>
      </c>
      <c r="B5" t="str">
        <f>_xlfn.XLOOKUP(A5,Table1[SKU_Code],Table1[Product_Name],"Missing")</f>
        <v>Pink Sweatshirt</v>
      </c>
      <c r="C5" t="str">
        <f>_xlfn.XLOOKUP(A5,Table1[SKU_Code],Table1[Category],"Missing")</f>
        <v>Sweatshirts</v>
      </c>
      <c r="D5" s="3">
        <f>_xlfn.XLOOKUP(A5,Table17[Row Labels],Table17[Average Monthly Qty],"Missing")</f>
        <v>5.7272727272727275</v>
      </c>
      <c r="E5" s="3">
        <f>_xlfn.XLOOKUP(A5,Table17[Row Labels],Table17[Std Dev],"Missing")</f>
        <v>3.221826390303518</v>
      </c>
      <c r="F5">
        <f t="shared" si="0"/>
        <v>0.19</v>
      </c>
      <c r="G5">
        <v>14</v>
      </c>
      <c r="H5">
        <f t="shared" si="1"/>
        <v>4</v>
      </c>
      <c r="I5">
        <f t="shared" si="2"/>
        <v>7</v>
      </c>
      <c r="J5">
        <f>_xlfn.LET(_xlpm.x,_xlfn.XLOOKUP(A5,Table2[SKU_Code],Table2[Units_On_Hand],""),IF(_xlpm.x="","Missing",_xlpm.x))</f>
        <v>13</v>
      </c>
      <c r="K5">
        <f>_xlfn.LET(_xlpm.x,_xlfn.XLOOKUP(A5,Table2[SKU_Code],Table2[Reorder_Lvl],""),IF(_xlpm.x="","Missing",_xlpm.x))</f>
        <v>8</v>
      </c>
      <c r="L5">
        <f t="shared" si="3"/>
        <v>68</v>
      </c>
      <c r="M5" t="str">
        <f t="shared" si="4"/>
        <v>OK</v>
      </c>
    </row>
    <row r="6" spans="1:13">
      <c r="A6" t="s">
        <v>228</v>
      </c>
      <c r="B6" t="str">
        <f>_xlfn.XLOOKUP(A6,Table1[SKU_Code],Table1[Product_Name],"Missing")</f>
        <v>Pink Sweatshirt</v>
      </c>
      <c r="C6" t="str">
        <f>_xlfn.XLOOKUP(A6,Table1[SKU_Code],Table1[Category],"Missing")</f>
        <v>Sweatshirts</v>
      </c>
      <c r="D6" s="3">
        <f>_xlfn.XLOOKUP(A6,Table17[Row Labels],Table17[Average Monthly Qty],"Missing")</f>
        <v>6.8</v>
      </c>
      <c r="E6" s="3">
        <f>_xlfn.XLOOKUP(A6,Table17[Row Labels],Table17[Std Dev],"Missing")</f>
        <v>4.1665333311999317</v>
      </c>
      <c r="F6">
        <f t="shared" si="0"/>
        <v>0.23</v>
      </c>
      <c r="G6">
        <v>14</v>
      </c>
      <c r="H6">
        <f t="shared" si="1"/>
        <v>5</v>
      </c>
      <c r="I6">
        <f t="shared" si="2"/>
        <v>8</v>
      </c>
      <c r="J6">
        <f>_xlfn.LET(_xlpm.x,_xlfn.XLOOKUP(A6,Table2[SKU_Code],Table2[Units_On_Hand],""),IF(_xlpm.x="","Missing",_xlpm.x))</f>
        <v>22</v>
      </c>
      <c r="K6">
        <f>_xlfn.LET(_xlpm.x,_xlfn.XLOOKUP(A6,Table2[SKU_Code],Table2[Reorder_Lvl],""),IF(_xlpm.x="","Missing",_xlpm.x))</f>
        <v>11</v>
      </c>
      <c r="L6">
        <f t="shared" si="3"/>
        <v>96</v>
      </c>
      <c r="M6" t="str">
        <f t="shared" si="4"/>
        <v>OK</v>
      </c>
    </row>
    <row r="7" spans="1:13">
      <c r="A7" t="s">
        <v>94</v>
      </c>
      <c r="B7" t="str">
        <f>_xlfn.XLOOKUP(A7,Table1[SKU_Code],Table1[Product_Name],"Missing")</f>
        <v>Pink Sweatshirt</v>
      </c>
      <c r="C7" t="str">
        <f>_xlfn.XLOOKUP(A7,Table1[SKU_Code],Table1[Category],"Missing")</f>
        <v>Sweatshirts</v>
      </c>
      <c r="D7" s="3">
        <f>_xlfn.XLOOKUP(A7,Table17[Row Labels],Table17[Average Monthly Qty],"Missing")</f>
        <v>4.916666666666667</v>
      </c>
      <c r="E7" s="3">
        <f>_xlfn.XLOOKUP(A7,Table17[Row Labels],Table17[Std Dev],"Missing")</f>
        <v>3.861310946067698</v>
      </c>
      <c r="F7">
        <f t="shared" si="0"/>
        <v>0.16</v>
      </c>
      <c r="G7">
        <v>14</v>
      </c>
      <c r="H7">
        <f t="shared" si="1"/>
        <v>4</v>
      </c>
      <c r="I7">
        <f t="shared" si="2"/>
        <v>6</v>
      </c>
      <c r="J7">
        <f>_xlfn.LET(_xlpm.x,_xlfn.XLOOKUP(A7,Table2[SKU_Code],Table2[Units_On_Hand],""),IF(_xlpm.x="","Missing",_xlpm.x))</f>
        <v>40</v>
      </c>
      <c r="K7">
        <f>_xlfn.LET(_xlpm.x,_xlfn.XLOOKUP(A7,Table2[SKU_Code],Table2[Reorder_Lvl],""),IF(_xlpm.x="","Missing",_xlpm.x))</f>
        <v>10</v>
      </c>
      <c r="L7">
        <f t="shared" si="3"/>
        <v>250</v>
      </c>
      <c r="M7" t="str">
        <f t="shared" si="4"/>
        <v>OK</v>
      </c>
    </row>
    <row r="8" spans="1:13">
      <c r="A8" t="s">
        <v>75</v>
      </c>
      <c r="B8" t="str">
        <f>_xlfn.XLOOKUP(A8,Table1[SKU_Code],Table1[Product_Name],"Missing")</f>
        <v>Olive Sweatshirt</v>
      </c>
      <c r="C8" t="str">
        <f>_xlfn.XLOOKUP(A8,Table1[SKU_Code],Table1[Category],"Missing")</f>
        <v>Sweatshirts</v>
      </c>
      <c r="D8" s="3">
        <f>_xlfn.XLOOKUP(A8,Table17[Row Labels],Table17[Average Monthly Qty],"Missing")</f>
        <v>5.2727272727272725</v>
      </c>
      <c r="E8" s="3">
        <f>_xlfn.XLOOKUP(A8,Table17[Row Labels],Table17[Std Dev],"Missing")</f>
        <v>3.1069104528427385</v>
      </c>
      <c r="F8">
        <f t="shared" si="0"/>
        <v>0.18</v>
      </c>
      <c r="G8">
        <v>14</v>
      </c>
      <c r="H8">
        <f t="shared" si="1"/>
        <v>4</v>
      </c>
      <c r="I8">
        <f t="shared" si="2"/>
        <v>7</v>
      </c>
      <c r="J8">
        <f>_xlfn.LET(_xlpm.x,_xlfn.XLOOKUP(A8,Table2[SKU_Code],Table2[Units_On_Hand],""),IF(_xlpm.x="","Missing",_xlpm.x))</f>
        <v>9</v>
      </c>
      <c r="K8">
        <f>_xlfn.LET(_xlpm.x,_xlfn.XLOOKUP(A8,Table2[SKU_Code],Table2[Reorder_Lvl],""),IF(_xlpm.x="","Missing",_xlpm.x))</f>
        <v>11</v>
      </c>
      <c r="L8">
        <f t="shared" si="3"/>
        <v>50</v>
      </c>
      <c r="M8" t="str">
        <f t="shared" si="4"/>
        <v>OK</v>
      </c>
    </row>
    <row r="9" spans="1:13">
      <c r="A9" t="s">
        <v>31</v>
      </c>
      <c r="B9" t="str">
        <f>_xlfn.XLOOKUP(A9,Table1[SKU_Code],Table1[Product_Name],"Missing")</f>
        <v>Olive Sweatshirt</v>
      </c>
      <c r="C9" t="str">
        <f>_xlfn.XLOOKUP(A9,Table1[SKU_Code],Table1[Category],"Missing")</f>
        <v>Sweatshirts</v>
      </c>
      <c r="D9" s="3">
        <f>_xlfn.XLOOKUP(A9,Table17[Row Labels],Table17[Average Monthly Qty],"Missing")</f>
        <v>6.7272727272727275</v>
      </c>
      <c r="E9" s="3">
        <f>_xlfn.XLOOKUP(A9,Table17[Row Labels],Table17[Std Dev],"Missing")</f>
        <v>4.8820805753082013</v>
      </c>
      <c r="F9">
        <f t="shared" si="0"/>
        <v>0.22</v>
      </c>
      <c r="G9">
        <v>14</v>
      </c>
      <c r="H9">
        <f t="shared" si="1"/>
        <v>6</v>
      </c>
      <c r="I9">
        <f t="shared" si="2"/>
        <v>9</v>
      </c>
      <c r="J9" t="str">
        <f>_xlfn.LET(_xlpm.x,_xlfn.XLOOKUP(A9,Table2[SKU_Code],Table2[Units_On_Hand],""),IF(_xlpm.x="","Missing",_xlpm.x))</f>
        <v>Missing</v>
      </c>
      <c r="K9">
        <f>_xlfn.LET(_xlpm.x,_xlfn.XLOOKUP(A9,Table2[SKU_Code],Table2[Reorder_Lvl],""),IF(_xlpm.x="","Missing",_xlpm.x))</f>
        <v>10</v>
      </c>
      <c r="L9" t="str">
        <f t="shared" si="3"/>
        <v>Missing</v>
      </c>
      <c r="M9" t="str">
        <f t="shared" si="4"/>
        <v>Missing</v>
      </c>
    </row>
    <row r="10" spans="1:13">
      <c r="A10" t="s">
        <v>27</v>
      </c>
      <c r="B10" t="str">
        <f>_xlfn.XLOOKUP(A10,Table1[SKU_Code],Table1[Product_Name],"Missing")</f>
        <v>Red Sweatshirt</v>
      </c>
      <c r="C10" t="str">
        <f>_xlfn.XLOOKUP(A10,Table1[SKU_Code],Table1[Category],"Missing")</f>
        <v>Sweatshirts</v>
      </c>
      <c r="D10" s="3">
        <f>_xlfn.XLOOKUP(A10,Table17[Row Labels],Table17[Average Monthly Qty],"Missing")</f>
        <v>6.4545454545454541</v>
      </c>
      <c r="E10" s="3">
        <f>_xlfn.XLOOKUP(A10,Table17[Row Labels],Table17[Std Dev],"Missing")</f>
        <v>3.4208886767685054</v>
      </c>
      <c r="F10">
        <f t="shared" si="0"/>
        <v>0.22</v>
      </c>
      <c r="G10">
        <v>14</v>
      </c>
      <c r="H10">
        <f t="shared" si="1"/>
        <v>4</v>
      </c>
      <c r="I10">
        <f t="shared" si="2"/>
        <v>7</v>
      </c>
      <c r="J10">
        <f>_xlfn.LET(_xlpm.x,_xlfn.XLOOKUP(A10,Table2[SKU_Code],Table2[Units_On_Hand],""),IF(_xlpm.x="","Missing",_xlpm.x))</f>
        <v>2</v>
      </c>
      <c r="K10">
        <f>_xlfn.LET(_xlpm.x,_xlfn.XLOOKUP(A10,Table2[SKU_Code],Table2[Reorder_Lvl],""),IF(_xlpm.x="","Missing",_xlpm.x))</f>
        <v>7</v>
      </c>
      <c r="L10">
        <f t="shared" si="3"/>
        <v>9</v>
      </c>
      <c r="M10" t="str">
        <f t="shared" si="4"/>
        <v>Reorder Now</v>
      </c>
    </row>
    <row r="11" spans="1:13">
      <c r="A11" t="s">
        <v>104</v>
      </c>
      <c r="B11" t="str">
        <f>_xlfn.XLOOKUP(A11,Table1[SKU_Code],Table1[Product_Name],"Missing")</f>
        <v>Blue Sweatshirt</v>
      </c>
      <c r="C11" t="str">
        <f>_xlfn.XLOOKUP(A11,Table1[SKU_Code],Table1[Category],"Missing")</f>
        <v>Sweatshirts</v>
      </c>
      <c r="D11" s="3">
        <f>_xlfn.XLOOKUP(A11,Table17[Row Labels],Table17[Average Monthly Qty],"Missing")</f>
        <v>3.6363636363636362</v>
      </c>
      <c r="E11" s="3">
        <f>_xlfn.XLOOKUP(A11,Table17[Row Labels],Table17[Std Dev],"Missing")</f>
        <v>2.3845230997461822</v>
      </c>
      <c r="F11">
        <f t="shared" si="0"/>
        <v>0.12</v>
      </c>
      <c r="G11">
        <v>14</v>
      </c>
      <c r="H11">
        <f t="shared" si="1"/>
        <v>3</v>
      </c>
      <c r="I11">
        <f t="shared" si="2"/>
        <v>5</v>
      </c>
      <c r="J11">
        <f>_xlfn.LET(_xlpm.x,_xlfn.XLOOKUP(A11,Table2[SKU_Code],Table2[Units_On_Hand],""),IF(_xlpm.x="","Missing",_xlpm.x))</f>
        <v>10</v>
      </c>
      <c r="K11">
        <f>_xlfn.LET(_xlpm.x,_xlfn.XLOOKUP(A11,Table2[SKU_Code],Table2[Reorder_Lvl],""),IF(_xlpm.x="","Missing",_xlpm.x))</f>
        <v>8</v>
      </c>
      <c r="L11">
        <f t="shared" si="3"/>
        <v>83</v>
      </c>
      <c r="M11" t="str">
        <f t="shared" si="4"/>
        <v>OK</v>
      </c>
    </row>
    <row r="12" spans="1:13">
      <c r="A12" t="s">
        <v>38</v>
      </c>
      <c r="B12" t="str">
        <f>_xlfn.XLOOKUP(A12,Table1[SKU_Code],Table1[Product_Name],"Missing")</f>
        <v>Burgundy Knit Dress</v>
      </c>
      <c r="C12" t="str">
        <f>_xlfn.XLOOKUP(A12,Table1[SKU_Code],Table1[Category],"Missing")</f>
        <v>Knit Dresses</v>
      </c>
      <c r="D12" s="3">
        <f>_xlfn.XLOOKUP(A12,Table17[Row Labels],Table17[Average Monthly Qty],"Missing")</f>
        <v>3.8</v>
      </c>
      <c r="E12" s="3">
        <f>_xlfn.XLOOKUP(A12,Table17[Row Labels],Table17[Std Dev],"Missing")</f>
        <v>3.4292856398964493</v>
      </c>
      <c r="F12">
        <f t="shared" si="0"/>
        <v>0.13</v>
      </c>
      <c r="G12">
        <v>14</v>
      </c>
      <c r="H12">
        <f t="shared" si="1"/>
        <v>4</v>
      </c>
      <c r="I12">
        <f t="shared" si="2"/>
        <v>6</v>
      </c>
      <c r="J12">
        <f>_xlfn.LET(_xlpm.x,_xlfn.XLOOKUP(A12,Table2[SKU_Code],Table2[Units_On_Hand],""),IF(_xlpm.x="","Missing",_xlpm.x))</f>
        <v>35</v>
      </c>
      <c r="K12">
        <f>_xlfn.LET(_xlpm.x,_xlfn.XLOOKUP(A12,Table2[SKU_Code],Table2[Reorder_Lvl],""),IF(_xlpm.x="","Missing",_xlpm.x))</f>
        <v>16</v>
      </c>
      <c r="L12">
        <f t="shared" si="3"/>
        <v>269</v>
      </c>
      <c r="M12" t="str">
        <f t="shared" si="4"/>
        <v>OK</v>
      </c>
    </row>
    <row r="13" spans="1:13">
      <c r="A13" t="s">
        <v>173</v>
      </c>
      <c r="B13" t="str">
        <f>_xlfn.XLOOKUP(A13,Table1[SKU_Code],Table1[Product_Name],"Missing")</f>
        <v>Burgundy Knit Dress</v>
      </c>
      <c r="C13" t="str">
        <f>_xlfn.XLOOKUP(A13,Table1[SKU_Code],Table1[Category],"Missing")</f>
        <v>Knit Dresses</v>
      </c>
      <c r="D13" s="3">
        <f>_xlfn.XLOOKUP(A13,Table17[Row Labels],Table17[Average Monthly Qty],"Missing")</f>
        <v>4.2</v>
      </c>
      <c r="E13" s="3">
        <f>_xlfn.XLOOKUP(A13,Table17[Row Labels],Table17[Std Dev],"Missing")</f>
        <v>3.4583232931581165</v>
      </c>
      <c r="F13">
        <f t="shared" si="0"/>
        <v>0.14000000000000001</v>
      </c>
      <c r="G13">
        <v>14</v>
      </c>
      <c r="H13">
        <f t="shared" si="1"/>
        <v>4</v>
      </c>
      <c r="I13">
        <f t="shared" si="2"/>
        <v>6</v>
      </c>
      <c r="J13">
        <f>_xlfn.LET(_xlpm.x,_xlfn.XLOOKUP(A13,Table2[SKU_Code],Table2[Units_On_Hand],""),IF(_xlpm.x="","Missing",_xlpm.x))</f>
        <v>16</v>
      </c>
      <c r="K13">
        <f>_xlfn.LET(_xlpm.x,_xlfn.XLOOKUP(A13,Table2[SKU_Code],Table2[Reorder_Lvl],""),IF(_xlpm.x="","Missing",_xlpm.x))</f>
        <v>13</v>
      </c>
      <c r="L13">
        <f t="shared" si="3"/>
        <v>114</v>
      </c>
      <c r="M13" t="str">
        <f t="shared" si="4"/>
        <v>OK</v>
      </c>
    </row>
    <row r="14" spans="1:13">
      <c r="A14" t="s">
        <v>131</v>
      </c>
      <c r="B14" t="str">
        <f>_xlfn.XLOOKUP(A14,Table1[SKU_Code],Table1[Product_Name],"Missing")</f>
        <v>Brown Turtleneck Knit</v>
      </c>
      <c r="C14" t="str">
        <f>_xlfn.XLOOKUP(A14,Table1[SKU_Code],Table1[Category],"Missing")</f>
        <v>Knitwear</v>
      </c>
      <c r="D14" s="3">
        <f>_xlfn.XLOOKUP(A14,Table17[Row Labels],Table17[Average Monthly Qty],"Missing")</f>
        <v>5.083333333333333</v>
      </c>
      <c r="E14" s="3">
        <f>_xlfn.XLOOKUP(A14,Table17[Row Labels],Table17[Std Dev],"Missing")</f>
        <v>3.0675270532176602</v>
      </c>
      <c r="F14">
        <f t="shared" si="0"/>
        <v>0.17</v>
      </c>
      <c r="G14">
        <v>14</v>
      </c>
      <c r="H14">
        <f t="shared" si="1"/>
        <v>3</v>
      </c>
      <c r="I14">
        <f t="shared" si="2"/>
        <v>5</v>
      </c>
      <c r="J14">
        <f>_xlfn.LET(_xlpm.x,_xlfn.XLOOKUP(A14,Table2[SKU_Code],Table2[Units_On_Hand],""),IF(_xlpm.x="","Missing",_xlpm.x))</f>
        <v>10</v>
      </c>
      <c r="K14">
        <f>_xlfn.LET(_xlpm.x,_xlfn.XLOOKUP(A14,Table2[SKU_Code],Table2[Reorder_Lvl],""),IF(_xlpm.x="","Missing",_xlpm.x))</f>
        <v>9</v>
      </c>
      <c r="L14">
        <f t="shared" si="3"/>
        <v>59</v>
      </c>
      <c r="M14" t="str">
        <f t="shared" si="4"/>
        <v>OK</v>
      </c>
    </row>
    <row r="15" spans="1:13">
      <c r="A15" t="s">
        <v>60</v>
      </c>
      <c r="B15" t="str">
        <f>_xlfn.XLOOKUP(A15,Table1[SKU_Code],Table1[Product_Name],"Missing")</f>
        <v>Cable Knit Vest White</v>
      </c>
      <c r="C15" t="str">
        <f>_xlfn.XLOOKUP(A15,Table1[SKU_Code],Table1[Category],"Missing")</f>
        <v>Knitwear</v>
      </c>
      <c r="D15" s="3">
        <f>_xlfn.XLOOKUP(A15,Table17[Row Labels],Table17[Average Monthly Qty],"Missing")</f>
        <v>5.5</v>
      </c>
      <c r="E15" s="3">
        <f>_xlfn.XLOOKUP(A15,Table17[Row Labels],Table17[Std Dev],"Missing")</f>
        <v>4.0062451248020263</v>
      </c>
      <c r="F15">
        <f t="shared" si="0"/>
        <v>0.18</v>
      </c>
      <c r="G15">
        <v>14</v>
      </c>
      <c r="H15">
        <f t="shared" si="1"/>
        <v>5</v>
      </c>
      <c r="I15">
        <f t="shared" si="2"/>
        <v>8</v>
      </c>
      <c r="J15">
        <f>_xlfn.LET(_xlpm.x,_xlfn.XLOOKUP(A15,Table2[SKU_Code],Table2[Units_On_Hand],""),IF(_xlpm.x="","Missing",_xlpm.x))</f>
        <v>40</v>
      </c>
      <c r="K15">
        <f>_xlfn.LET(_xlpm.x,_xlfn.XLOOKUP(A15,Table2[SKU_Code],Table2[Reorder_Lvl],""),IF(_xlpm.x="","Missing",_xlpm.x))</f>
        <v>9</v>
      </c>
      <c r="L15">
        <f t="shared" si="3"/>
        <v>222</v>
      </c>
      <c r="M15" t="str">
        <f t="shared" si="4"/>
        <v>OK</v>
      </c>
    </row>
    <row r="16" spans="1:13">
      <c r="A16" t="s">
        <v>139</v>
      </c>
      <c r="B16" t="str">
        <f>_xlfn.XLOOKUP(A16,Table1[SKU_Code],Table1[Product_Name],"Missing")</f>
        <v>Cable Knit Vest White</v>
      </c>
      <c r="C16" t="str">
        <f>_xlfn.XLOOKUP(A16,Table1[SKU_Code],Table1[Category],"Missing")</f>
        <v>Knitwear</v>
      </c>
      <c r="D16" s="3">
        <f>_xlfn.XLOOKUP(A16,Table17[Row Labels],Table17[Average Monthly Qty],"Missing")</f>
        <v>4.3</v>
      </c>
      <c r="E16" s="3">
        <f>_xlfn.XLOOKUP(A16,Table17[Row Labels],Table17[Std Dev],"Missing")</f>
        <v>2.9681644159311662</v>
      </c>
      <c r="F16">
        <f t="shared" si="0"/>
        <v>0.14000000000000001</v>
      </c>
      <c r="G16">
        <v>14</v>
      </c>
      <c r="H16">
        <f t="shared" si="1"/>
        <v>3</v>
      </c>
      <c r="I16">
        <f t="shared" si="2"/>
        <v>5</v>
      </c>
      <c r="J16">
        <f>_xlfn.LET(_xlpm.x,_xlfn.XLOOKUP(A16,Table2[SKU_Code],Table2[Units_On_Hand],""),IF(_xlpm.x="","Missing",_xlpm.x))</f>
        <v>3</v>
      </c>
      <c r="K16">
        <f>_xlfn.LET(_xlpm.x,_xlfn.XLOOKUP(A16,Table2[SKU_Code],Table2[Reorder_Lvl],""),IF(_xlpm.x="","Missing",_xlpm.x))</f>
        <v>11</v>
      </c>
      <c r="L16">
        <f t="shared" si="3"/>
        <v>21</v>
      </c>
      <c r="M16" t="str">
        <f t="shared" si="4"/>
        <v>Reorder Now</v>
      </c>
    </row>
    <row r="17" spans="1:13">
      <c r="A17" t="s">
        <v>46</v>
      </c>
      <c r="B17" t="str">
        <f>_xlfn.XLOOKUP(A17,Table1[SKU_Code],Table1[Product_Name],"Missing")</f>
        <v>Grey Hoodie</v>
      </c>
      <c r="C17" t="str">
        <f>_xlfn.XLOOKUP(A17,Table1[SKU_Code],Table1[Category],"Missing")</f>
        <v>Sweatshirts</v>
      </c>
      <c r="D17" s="3">
        <f>_xlfn.XLOOKUP(A17,Table17[Row Labels],Table17[Average Monthly Qty],"Missing")</f>
        <v>3.25</v>
      </c>
      <c r="E17" s="3">
        <f>_xlfn.XLOOKUP(A17,Table17[Row Labels],Table17[Std Dev],"Missing")</f>
        <v>2.7118566825454966</v>
      </c>
      <c r="F17">
        <f t="shared" si="0"/>
        <v>0.11</v>
      </c>
      <c r="G17">
        <v>14</v>
      </c>
      <c r="H17">
        <f t="shared" si="1"/>
        <v>3</v>
      </c>
      <c r="I17">
        <f t="shared" si="2"/>
        <v>5</v>
      </c>
      <c r="J17">
        <f>_xlfn.LET(_xlpm.x,_xlfn.XLOOKUP(A17,Table2[SKU_Code],Table2[Units_On_Hand],""),IF(_xlpm.x="","Missing",_xlpm.x))</f>
        <v>31</v>
      </c>
      <c r="K17">
        <f>_xlfn.LET(_xlpm.x,_xlfn.XLOOKUP(A17,Table2[SKU_Code],Table2[Reorder_Lvl],""),IF(_xlpm.x="","Missing",_xlpm.x))</f>
        <v>6</v>
      </c>
      <c r="L17">
        <f t="shared" si="3"/>
        <v>282</v>
      </c>
      <c r="M17" t="str">
        <f t="shared" si="4"/>
        <v>OK</v>
      </c>
    </row>
    <row r="18" spans="1:13">
      <c r="A18" t="s">
        <v>43</v>
      </c>
      <c r="B18" t="str">
        <f>_xlfn.XLOOKUP(A18,Table1[SKU_Code],Table1[Product_Name],"Missing")</f>
        <v>Grey Hoodie</v>
      </c>
      <c r="C18" t="str">
        <f>_xlfn.XLOOKUP(A18,Table1[SKU_Code],Table1[Category],"Missing")</f>
        <v>Sweatshirts</v>
      </c>
      <c r="D18" s="3">
        <f>_xlfn.XLOOKUP(A18,Table17[Row Labels],Table17[Average Monthly Qty],"Missing")</f>
        <v>4.1818181818181817</v>
      </c>
      <c r="E18" s="3">
        <f>_xlfn.XLOOKUP(A18,Table17[Row Labels],Table17[Std Dev],"Missing")</f>
        <v>6.435952734701039</v>
      </c>
      <c r="F18">
        <f t="shared" si="0"/>
        <v>0.14000000000000001</v>
      </c>
      <c r="G18">
        <v>14</v>
      </c>
      <c r="H18">
        <f t="shared" si="1"/>
        <v>7</v>
      </c>
      <c r="I18">
        <f t="shared" si="2"/>
        <v>9</v>
      </c>
      <c r="J18">
        <f>_xlfn.LET(_xlpm.x,_xlfn.XLOOKUP(A18,Table2[SKU_Code],Table2[Units_On_Hand],""),IF(_xlpm.x="","Missing",_xlpm.x))</f>
        <v>20</v>
      </c>
      <c r="K18">
        <f>_xlfn.LET(_xlpm.x,_xlfn.XLOOKUP(A18,Table2[SKU_Code],Table2[Reorder_Lvl],""),IF(_xlpm.x="","Missing",_xlpm.x))</f>
        <v>8</v>
      </c>
      <c r="L18">
        <f t="shared" si="3"/>
        <v>143</v>
      </c>
      <c r="M18" t="str">
        <f t="shared" si="4"/>
        <v>OK</v>
      </c>
    </row>
    <row r="19" spans="1:13">
      <c r="A19" t="s">
        <v>250</v>
      </c>
      <c r="B19" t="str">
        <f>_xlfn.XLOOKUP(A19,Table1[SKU_Code],Table1[Product_Name],"Missing")</f>
        <v>White Linen Shirt</v>
      </c>
      <c r="C19" t="str">
        <f>_xlfn.XLOOKUP(A19,Table1[SKU_Code],Table1[Category],"Missing")</f>
        <v>Shirts</v>
      </c>
      <c r="D19" s="3">
        <f>_xlfn.XLOOKUP(A19,Table17[Row Labels],Table17[Average Monthly Qty],"Missing")</f>
        <v>5.75</v>
      </c>
      <c r="E19" s="3">
        <f>_xlfn.XLOOKUP(A19,Table17[Row Labels],Table17[Std Dev],"Missing")</f>
        <v>4.1457809879442502</v>
      </c>
      <c r="F19">
        <f t="shared" si="0"/>
        <v>0.19</v>
      </c>
      <c r="G19">
        <v>14</v>
      </c>
      <c r="H19">
        <f t="shared" si="1"/>
        <v>5</v>
      </c>
      <c r="I19">
        <f t="shared" si="2"/>
        <v>8</v>
      </c>
      <c r="J19">
        <f>_xlfn.LET(_xlpm.x,_xlfn.XLOOKUP(A19,Table2[SKU_Code],Table2[Units_On_Hand],""),IF(_xlpm.x="","Missing",_xlpm.x))</f>
        <v>18</v>
      </c>
      <c r="K19">
        <f>_xlfn.LET(_xlpm.x,_xlfn.XLOOKUP(A19,Table2[SKU_Code],Table2[Reorder_Lvl],""),IF(_xlpm.x="","Missing",_xlpm.x))</f>
        <v>6</v>
      </c>
      <c r="L19">
        <f t="shared" si="3"/>
        <v>95</v>
      </c>
      <c r="M19" t="str">
        <f t="shared" si="4"/>
        <v>OK</v>
      </c>
    </row>
    <row r="20" spans="1:13">
      <c r="A20" t="s">
        <v>52</v>
      </c>
      <c r="B20" t="str">
        <f>_xlfn.XLOOKUP(A20,Table1[SKU_Code],Table1[Product_Name],"Missing")</f>
        <v>White Linen Shirt</v>
      </c>
      <c r="C20" t="str">
        <f>_xlfn.XLOOKUP(A20,Table1[SKU_Code],Table1[Category],"Missing")</f>
        <v>Shirts</v>
      </c>
      <c r="D20" s="3">
        <f>_xlfn.XLOOKUP(A20,Table17[Row Labels],Table17[Average Monthly Qty],"Missing")</f>
        <v>4.9090909090909092</v>
      </c>
      <c r="E20" s="3">
        <f>_xlfn.XLOOKUP(A20,Table17[Row Labels],Table17[Std Dev],"Missing")</f>
        <v>3.3697732714273889</v>
      </c>
      <c r="F20">
        <f t="shared" si="0"/>
        <v>0.16</v>
      </c>
      <c r="G20">
        <v>14</v>
      </c>
      <c r="H20">
        <f t="shared" si="1"/>
        <v>4</v>
      </c>
      <c r="I20">
        <f t="shared" si="2"/>
        <v>6</v>
      </c>
      <c r="J20" t="str">
        <f>_xlfn.LET(_xlpm.x,_xlfn.XLOOKUP(A20,Table2[SKU_Code],Table2[Units_On_Hand],""),IF(_xlpm.x="","Missing",_xlpm.x))</f>
        <v>Missing</v>
      </c>
      <c r="K20">
        <f>_xlfn.LET(_xlpm.x,_xlfn.XLOOKUP(A20,Table2[SKU_Code],Table2[Reorder_Lvl],""),IF(_xlpm.x="","Missing",_xlpm.x))</f>
        <v>20</v>
      </c>
      <c r="L20" t="str">
        <f t="shared" si="3"/>
        <v>Missing</v>
      </c>
      <c r="M20" t="str">
        <f t="shared" si="4"/>
        <v>Missing</v>
      </c>
    </row>
    <row r="21" spans="1:13">
      <c r="A21" t="s">
        <v>34</v>
      </c>
      <c r="B21" t="str">
        <f>_xlfn.XLOOKUP(A21,Table1[SKU_Code],Table1[Product_Name],"Missing")</f>
        <v>Striped Shirt</v>
      </c>
      <c r="C21" t="str">
        <f>_xlfn.XLOOKUP(A21,Table1[SKU_Code],Table1[Category],"Missing")</f>
        <v>Shirts</v>
      </c>
      <c r="D21" s="3">
        <f>_xlfn.XLOOKUP(A21,Table17[Row Labels],Table17[Average Monthly Qty],"Missing")</f>
        <v>4.3636363636363633</v>
      </c>
      <c r="E21" s="3">
        <f>_xlfn.XLOOKUP(A21,Table17[Row Labels],Table17[Std Dev],"Missing")</f>
        <v>2.8049542946439114</v>
      </c>
      <c r="F21">
        <f t="shared" si="0"/>
        <v>0.15</v>
      </c>
      <c r="G21">
        <v>14</v>
      </c>
      <c r="H21">
        <f t="shared" si="1"/>
        <v>3</v>
      </c>
      <c r="I21">
        <f t="shared" si="2"/>
        <v>5</v>
      </c>
      <c r="J21">
        <f>_xlfn.LET(_xlpm.x,_xlfn.XLOOKUP(A21,Table2[SKU_Code],Table2[Units_On_Hand],""),IF(_xlpm.x="","Missing",_xlpm.x))</f>
        <v>21</v>
      </c>
      <c r="K21">
        <f>_xlfn.LET(_xlpm.x,_xlfn.XLOOKUP(A21,Table2[SKU_Code],Table2[Reorder_Lvl],""),IF(_xlpm.x="","Missing",_xlpm.x))</f>
        <v>7</v>
      </c>
      <c r="L21">
        <f t="shared" si="3"/>
        <v>140</v>
      </c>
      <c r="M21" t="str">
        <f t="shared" si="4"/>
        <v>OK</v>
      </c>
    </row>
    <row r="22" spans="1:13">
      <c r="A22" t="s">
        <v>133</v>
      </c>
      <c r="B22" t="str">
        <f>_xlfn.XLOOKUP(A22,Table1[SKU_Code],Table1[Product_Name],"Missing")</f>
        <v>Sage Green Co-ord</v>
      </c>
      <c r="C22" t="str">
        <f>_xlfn.XLOOKUP(A22,Table1[SKU_Code],Table1[Category],"Missing")</f>
        <v>Co-ord Sets</v>
      </c>
      <c r="D22" s="3">
        <f>_xlfn.XLOOKUP(A22,Table17[Row Labels],Table17[Average Monthly Qty],"Missing")</f>
        <v>5.75</v>
      </c>
      <c r="E22" s="3">
        <f>_xlfn.XLOOKUP(A22,Table17[Row Labels],Table17[Std Dev],"Missing")</f>
        <v>3.5148494514938569</v>
      </c>
      <c r="F22">
        <f t="shared" si="0"/>
        <v>0.19</v>
      </c>
      <c r="G22">
        <v>14</v>
      </c>
      <c r="H22">
        <f t="shared" si="1"/>
        <v>4</v>
      </c>
      <c r="I22">
        <f t="shared" si="2"/>
        <v>7</v>
      </c>
      <c r="J22">
        <f>_xlfn.LET(_xlpm.x,_xlfn.XLOOKUP(A22,Table2[SKU_Code],Table2[Units_On_Hand],""),IF(_xlpm.x="","Missing",_xlpm.x))</f>
        <v>22</v>
      </c>
      <c r="K22">
        <f>_xlfn.LET(_xlpm.x,_xlfn.XLOOKUP(A22,Table2[SKU_Code],Table2[Reorder_Lvl],""),IF(_xlpm.x="","Missing",_xlpm.x))</f>
        <v>19</v>
      </c>
      <c r="L22">
        <f t="shared" si="3"/>
        <v>116</v>
      </c>
      <c r="M22" t="str">
        <f t="shared" si="4"/>
        <v>OK</v>
      </c>
    </row>
    <row r="23" spans="1:13">
      <c r="A23" t="s">
        <v>101</v>
      </c>
      <c r="B23" t="str">
        <f>_xlfn.XLOOKUP(A23,Table1[SKU_Code],Table1[Product_Name],"Missing")</f>
        <v>Sage Green Co-ord</v>
      </c>
      <c r="C23" t="str">
        <f>_xlfn.XLOOKUP(A23,Table1[SKU_Code],Table1[Category],"Missing")</f>
        <v>Co-ord Sets</v>
      </c>
      <c r="D23" s="3">
        <f>_xlfn.XLOOKUP(A23,Table17[Row Labels],Table17[Average Monthly Qty],"Missing")</f>
        <v>5</v>
      </c>
      <c r="E23" s="3">
        <f>_xlfn.XLOOKUP(A23,Table17[Row Labels],Table17[Std Dev],"Missing")</f>
        <v>4.1120665010540511</v>
      </c>
      <c r="F23">
        <f t="shared" si="0"/>
        <v>0.17</v>
      </c>
      <c r="G23">
        <v>14</v>
      </c>
      <c r="H23">
        <f t="shared" si="1"/>
        <v>5</v>
      </c>
      <c r="I23">
        <f t="shared" si="2"/>
        <v>7</v>
      </c>
      <c r="J23">
        <f>_xlfn.LET(_xlpm.x,_xlfn.XLOOKUP(A23,Table2[SKU_Code],Table2[Units_On_Hand],""),IF(_xlpm.x="","Missing",_xlpm.x))</f>
        <v>31</v>
      </c>
      <c r="K23">
        <f>_xlfn.LET(_xlpm.x,_xlfn.XLOOKUP(A23,Table2[SKU_Code],Table2[Reorder_Lvl],""),IF(_xlpm.x="","Missing",_xlpm.x))</f>
        <v>5</v>
      </c>
      <c r="L23">
        <f t="shared" si="3"/>
        <v>182</v>
      </c>
      <c r="M23" t="str">
        <f t="shared" si="4"/>
        <v>OK</v>
      </c>
    </row>
    <row r="24" spans="1:13">
      <c r="A24" t="s">
        <v>299</v>
      </c>
      <c r="B24" t="str">
        <f>_xlfn.XLOOKUP(A24,Table1[SKU_Code],Table1[Product_Name],"Missing")</f>
        <v>Orange Linen Set</v>
      </c>
      <c r="C24" t="str">
        <f>_xlfn.XLOOKUP(A24,Table1[SKU_Code],Table1[Category],"Missing")</f>
        <v>Co-ord Sets</v>
      </c>
      <c r="D24" s="3">
        <f>_xlfn.XLOOKUP(A24,Table17[Row Labels],Table17[Average Monthly Qty],"Missing")</f>
        <v>4.2727272727272725</v>
      </c>
      <c r="E24" s="3">
        <f>_xlfn.XLOOKUP(A24,Table17[Row Labels],Table17[Std Dev],"Missing")</f>
        <v>2.987577586391815</v>
      </c>
      <c r="F24">
        <f t="shared" si="0"/>
        <v>0.14000000000000001</v>
      </c>
      <c r="G24">
        <v>14</v>
      </c>
      <c r="H24">
        <f t="shared" si="1"/>
        <v>3</v>
      </c>
      <c r="I24">
        <f t="shared" si="2"/>
        <v>5</v>
      </c>
      <c r="J24">
        <f>_xlfn.LET(_xlpm.x,_xlfn.XLOOKUP(A24,Table2[SKU_Code],Table2[Units_On_Hand],""),IF(_xlpm.x="","Missing",_xlpm.x))</f>
        <v>39</v>
      </c>
      <c r="K24">
        <f>_xlfn.LET(_xlpm.x,_xlfn.XLOOKUP(A24,Table2[SKU_Code],Table2[Reorder_Lvl],""),IF(_xlpm.x="","Missing",_xlpm.x))</f>
        <v>18</v>
      </c>
      <c r="L24">
        <f t="shared" si="3"/>
        <v>279</v>
      </c>
      <c r="M24" t="str">
        <f t="shared" si="4"/>
        <v>OK</v>
      </c>
    </row>
    <row r="25" spans="1:13">
      <c r="A25" t="s">
        <v>119</v>
      </c>
      <c r="B25" t="str">
        <f>_xlfn.XLOOKUP(A25,Table1[SKU_Code],Table1[Product_Name],"Missing")</f>
        <v>Orange Linen Set</v>
      </c>
      <c r="C25" t="str">
        <f>_xlfn.XLOOKUP(A25,Table1[SKU_Code],Table1[Category],"Missing")</f>
        <v>Co-ord Sets</v>
      </c>
      <c r="D25" s="3">
        <f>_xlfn.XLOOKUP(A25,Table17[Row Labels],Table17[Average Monthly Qty],"Missing")</f>
        <v>7.7777777777777777</v>
      </c>
      <c r="E25" s="3">
        <f>_xlfn.XLOOKUP(A25,Table17[Row Labels],Table17[Std Dev],"Missing")</f>
        <v>4.4416657980681524</v>
      </c>
      <c r="F25">
        <f t="shared" si="0"/>
        <v>0.26</v>
      </c>
      <c r="G25">
        <v>14</v>
      </c>
      <c r="H25">
        <f t="shared" si="1"/>
        <v>5</v>
      </c>
      <c r="I25">
        <f t="shared" si="2"/>
        <v>9</v>
      </c>
      <c r="J25">
        <f>_xlfn.LET(_xlpm.x,_xlfn.XLOOKUP(A25,Table2[SKU_Code],Table2[Units_On_Hand],""),IF(_xlpm.x="","Missing",_xlpm.x))</f>
        <v>27</v>
      </c>
      <c r="K25">
        <f>_xlfn.LET(_xlpm.x,_xlfn.XLOOKUP(A25,Table2[SKU_Code],Table2[Reorder_Lvl],""),IF(_xlpm.x="","Missing",_xlpm.x))</f>
        <v>11</v>
      </c>
      <c r="L25">
        <f t="shared" si="3"/>
        <v>104</v>
      </c>
      <c r="M25" t="str">
        <f t="shared" si="4"/>
        <v>OK</v>
      </c>
    </row>
    <row r="26" spans="1:13">
      <c r="A26" t="s">
        <v>242</v>
      </c>
      <c r="B26" t="str">
        <f>_xlfn.XLOOKUP(A26,Table1[SKU_Code],Table1[Product_Name],"Missing")</f>
        <v>Green Maxi Skirt</v>
      </c>
      <c r="C26" t="str">
        <f>_xlfn.XLOOKUP(A26,Table1[SKU_Code],Table1[Category],"Missing")</f>
        <v>Skirts</v>
      </c>
      <c r="D26" s="3">
        <f>_xlfn.XLOOKUP(A26,Table17[Row Labels],Table17[Average Monthly Qty],"Missing")</f>
        <v>5.166666666666667</v>
      </c>
      <c r="E26" s="3">
        <f>_xlfn.XLOOKUP(A26,Table17[Row Labels],Table17[Std Dev],"Missing")</f>
        <v>2.5110865288865605</v>
      </c>
      <c r="F26">
        <f t="shared" si="0"/>
        <v>0.17</v>
      </c>
      <c r="G26">
        <v>14</v>
      </c>
      <c r="H26">
        <f t="shared" si="1"/>
        <v>3</v>
      </c>
      <c r="I26">
        <f t="shared" si="2"/>
        <v>5</v>
      </c>
      <c r="J26">
        <f>_xlfn.LET(_xlpm.x,_xlfn.XLOOKUP(A26,Table2[SKU_Code],Table2[Units_On_Hand],""),IF(_xlpm.x="","Missing",_xlpm.x))</f>
        <v>21</v>
      </c>
      <c r="K26">
        <f>_xlfn.LET(_xlpm.x,_xlfn.XLOOKUP(A26,Table2[SKU_Code],Table2[Reorder_Lvl],""),IF(_xlpm.x="","Missing",_xlpm.x))</f>
        <v>5</v>
      </c>
      <c r="L26">
        <f t="shared" si="3"/>
        <v>124</v>
      </c>
      <c r="M26" t="str">
        <f t="shared" si="4"/>
        <v>OK</v>
      </c>
    </row>
    <row r="27" spans="1:13">
      <c r="A27" t="s">
        <v>96</v>
      </c>
      <c r="B27" t="str">
        <f>_xlfn.XLOOKUP(A27,Table1[SKU_Code],Table1[Product_Name],"Missing")</f>
        <v>Green Maxi Skirt</v>
      </c>
      <c r="C27" t="str">
        <f>_xlfn.XLOOKUP(A27,Table1[SKU_Code],Table1[Category],"Missing")</f>
        <v>Skirts</v>
      </c>
      <c r="D27" s="3">
        <f>_xlfn.XLOOKUP(A27,Table17[Row Labels],Table17[Average Monthly Qty],"Missing")</f>
        <v>4.6363636363636367</v>
      </c>
      <c r="E27" s="3">
        <f>_xlfn.XLOOKUP(A27,Table17[Row Labels],Table17[Std Dev],"Missing")</f>
        <v>3.1122259579315799</v>
      </c>
      <c r="F27">
        <f t="shared" si="0"/>
        <v>0.15</v>
      </c>
      <c r="G27">
        <v>14</v>
      </c>
      <c r="H27">
        <f t="shared" si="1"/>
        <v>4</v>
      </c>
      <c r="I27">
        <f t="shared" si="2"/>
        <v>6</v>
      </c>
      <c r="J27">
        <f>_xlfn.LET(_xlpm.x,_xlfn.XLOOKUP(A27,Table2[SKU_Code],Table2[Units_On_Hand],""),IF(_xlpm.x="","Missing",_xlpm.x))</f>
        <v>38</v>
      </c>
      <c r="K27">
        <f>_xlfn.LET(_xlpm.x,_xlfn.XLOOKUP(A27,Table2[SKU_Code],Table2[Reorder_Lvl],""),IF(_xlpm.x="","Missing",_xlpm.x))</f>
        <v>14</v>
      </c>
      <c r="L27">
        <f t="shared" si="3"/>
        <v>253</v>
      </c>
      <c r="M27" t="str">
        <f t="shared" si="4"/>
        <v>OK</v>
      </c>
    </row>
    <row r="28" spans="1:13">
      <c r="A28" t="s">
        <v>64</v>
      </c>
      <c r="B28" t="str">
        <f>_xlfn.XLOOKUP(A28,Table1[SKU_Code],Table1[Product_Name],"Missing")</f>
        <v>Floral Print Dress</v>
      </c>
      <c r="C28" t="str">
        <f>_xlfn.XLOOKUP(A28,Table1[SKU_Code],Table1[Category],"Missing")</f>
        <v>Dresses</v>
      </c>
      <c r="D28" s="3">
        <f>_xlfn.XLOOKUP(A28,Table17[Row Labels],Table17[Average Monthly Qty],"Missing")</f>
        <v>4.9000000000000004</v>
      </c>
      <c r="E28" s="3">
        <f>_xlfn.XLOOKUP(A28,Table17[Row Labels],Table17[Std Dev],"Missing")</f>
        <v>3.1764760348537182</v>
      </c>
      <c r="F28">
        <f t="shared" si="0"/>
        <v>0.16</v>
      </c>
      <c r="G28">
        <v>14</v>
      </c>
      <c r="H28">
        <f t="shared" si="1"/>
        <v>4</v>
      </c>
      <c r="I28">
        <f t="shared" si="2"/>
        <v>6</v>
      </c>
      <c r="J28">
        <f>_xlfn.LET(_xlpm.x,_xlfn.XLOOKUP(A28,Table2[SKU_Code],Table2[Units_On_Hand],""),IF(_xlpm.x="","Missing",_xlpm.x))</f>
        <v>7</v>
      </c>
      <c r="K28">
        <f>_xlfn.LET(_xlpm.x,_xlfn.XLOOKUP(A28,Table2[SKU_Code],Table2[Reorder_Lvl],""),IF(_xlpm.x="","Missing",_xlpm.x))</f>
        <v>15</v>
      </c>
      <c r="L28">
        <f t="shared" si="3"/>
        <v>44</v>
      </c>
      <c r="M28" t="str">
        <f t="shared" si="4"/>
        <v>OK</v>
      </c>
    </row>
    <row r="29" spans="1:13">
      <c r="A29" t="s">
        <v>70</v>
      </c>
      <c r="B29" t="str">
        <f>_xlfn.XLOOKUP(A29,Table1[SKU_Code],Table1[Product_Name],"Missing")</f>
        <v>Floral Print Dress</v>
      </c>
      <c r="C29" t="str">
        <f>_xlfn.XLOOKUP(A29,Table1[SKU_Code],Table1[Category],"Missing")</f>
        <v>Dresses</v>
      </c>
      <c r="D29" s="3">
        <f>_xlfn.XLOOKUP(A29,Table17[Row Labels],Table17[Average Monthly Qty],"Missing")</f>
        <v>3.9166666666666665</v>
      </c>
      <c r="E29" s="3">
        <f>_xlfn.XLOOKUP(A29,Table17[Row Labels],Table17[Std Dev],"Missing")</f>
        <v>2.4986107250941583</v>
      </c>
      <c r="F29">
        <f t="shared" si="0"/>
        <v>0.13</v>
      </c>
      <c r="G29">
        <v>14</v>
      </c>
      <c r="H29">
        <f t="shared" si="1"/>
        <v>3</v>
      </c>
      <c r="I29">
        <f t="shared" si="2"/>
        <v>5</v>
      </c>
      <c r="J29">
        <f>_xlfn.LET(_xlpm.x,_xlfn.XLOOKUP(A29,Table2[SKU_Code],Table2[Units_On_Hand],""),IF(_xlpm.x="","Missing",_xlpm.x))</f>
        <v>18</v>
      </c>
      <c r="K29">
        <f>_xlfn.LET(_xlpm.x,_xlfn.XLOOKUP(A29,Table2[SKU_Code],Table2[Reorder_Lvl],""),IF(_xlpm.x="","Missing",_xlpm.x))</f>
        <v>17</v>
      </c>
      <c r="L29">
        <f t="shared" si="3"/>
        <v>138</v>
      </c>
      <c r="M29" t="str">
        <f t="shared" si="4"/>
        <v>OK</v>
      </c>
    </row>
    <row r="30" spans="1:13">
      <c r="A30" t="s">
        <v>144</v>
      </c>
      <c r="B30" t="str">
        <f>_xlfn.XLOOKUP(A30,Table1[SKU_Code],Table1[Product_Name],"Missing")</f>
        <v>Black Abaya Dress</v>
      </c>
      <c r="C30" t="str">
        <f>_xlfn.XLOOKUP(A30,Table1[SKU_Code],Table1[Category],"Missing")</f>
        <v>Dresses</v>
      </c>
      <c r="D30" s="3">
        <f>_xlfn.XLOOKUP(A30,Table17[Row Labels],Table17[Average Monthly Qty],"Missing")</f>
        <v>5.3636363636363633</v>
      </c>
      <c r="E30" s="3">
        <f>_xlfn.XLOOKUP(A30,Table17[Row Labels],Table17[Std Dev],"Missing")</f>
        <v>3.8676449793059358</v>
      </c>
      <c r="F30">
        <f t="shared" si="0"/>
        <v>0.18</v>
      </c>
      <c r="G30">
        <v>14</v>
      </c>
      <c r="H30">
        <f t="shared" si="1"/>
        <v>4</v>
      </c>
      <c r="I30">
        <f t="shared" si="2"/>
        <v>7</v>
      </c>
      <c r="J30">
        <f>_xlfn.LET(_xlpm.x,_xlfn.XLOOKUP(A30,Table2[SKU_Code],Table2[Units_On_Hand],""),IF(_xlpm.x="","Missing",_xlpm.x))</f>
        <v>29</v>
      </c>
      <c r="K30">
        <f>_xlfn.LET(_xlpm.x,_xlfn.XLOOKUP(A30,Table2[SKU_Code],Table2[Reorder_Lvl],""),IF(_xlpm.x="","Missing",_xlpm.x))</f>
        <v>18</v>
      </c>
      <c r="L30">
        <f t="shared" si="3"/>
        <v>161</v>
      </c>
      <c r="M30" t="str">
        <f t="shared" si="4"/>
        <v>OK</v>
      </c>
    </row>
    <row r="31" spans="1:13">
      <c r="A31" t="s">
        <v>184</v>
      </c>
      <c r="B31" t="str">
        <f>_xlfn.XLOOKUP(A31,Table1[SKU_Code],Table1[Product_Name],"Missing")</f>
        <v>Magenta Abaya Dress</v>
      </c>
      <c r="C31" t="str">
        <f>_xlfn.XLOOKUP(A31,Table1[SKU_Code],Table1[Category],"Missing")</f>
        <v>Dresses</v>
      </c>
      <c r="D31" s="3">
        <f>_xlfn.XLOOKUP(A31,Table17[Row Labels],Table17[Average Monthly Qty],"Missing")</f>
        <v>5.5</v>
      </c>
      <c r="E31" s="3">
        <f>_xlfn.XLOOKUP(A31,Table17[Row Labels],Table17[Std Dev],"Missing")</f>
        <v>4.364630568559039</v>
      </c>
      <c r="F31">
        <f t="shared" si="0"/>
        <v>0.18</v>
      </c>
      <c r="G31">
        <v>14</v>
      </c>
      <c r="H31">
        <f t="shared" si="1"/>
        <v>5</v>
      </c>
      <c r="I31">
        <f t="shared" si="2"/>
        <v>8</v>
      </c>
      <c r="J31">
        <f>_xlfn.LET(_xlpm.x,_xlfn.XLOOKUP(A31,Table2[SKU_Code],Table2[Units_On_Hand],""),IF(_xlpm.x="","Missing",_xlpm.x))</f>
        <v>5</v>
      </c>
      <c r="K31">
        <f>_xlfn.LET(_xlpm.x,_xlfn.XLOOKUP(A31,Table2[SKU_Code],Table2[Reorder_Lvl],""),IF(_xlpm.x="","Missing",_xlpm.x))</f>
        <v>19</v>
      </c>
      <c r="L31">
        <f t="shared" si="3"/>
        <v>28</v>
      </c>
      <c r="M31" t="str">
        <f t="shared" si="4"/>
        <v>Reorder Now</v>
      </c>
    </row>
    <row r="32" spans="1:13">
      <c r="A32" t="s">
        <v>153</v>
      </c>
      <c r="B32" t="str">
        <f>_xlfn.XLOOKUP(A32,Table1[SKU_Code],Table1[Product_Name],"Missing")</f>
        <v>Khaki Cargo Jacket</v>
      </c>
      <c r="C32" t="str">
        <f>_xlfn.XLOOKUP(A32,Table1[SKU_Code],Table1[Category],"Missing")</f>
        <v>Outerwear</v>
      </c>
      <c r="D32" s="3">
        <f>_xlfn.XLOOKUP(A32,Table17[Row Labels],Table17[Average Monthly Qty],"Missing")</f>
        <v>6.7272727272727275</v>
      </c>
      <c r="E32" s="3">
        <f>_xlfn.XLOOKUP(A32,Table17[Row Labels],Table17[Std Dev],"Missing")</f>
        <v>3.1648900337325836</v>
      </c>
      <c r="F32">
        <f t="shared" si="0"/>
        <v>0.22</v>
      </c>
      <c r="G32">
        <v>14</v>
      </c>
      <c r="H32">
        <f t="shared" si="1"/>
        <v>4</v>
      </c>
      <c r="I32">
        <f t="shared" si="2"/>
        <v>7</v>
      </c>
      <c r="J32" t="str">
        <f>_xlfn.LET(_xlpm.x,_xlfn.XLOOKUP(A32,Table2[SKU_Code],Table2[Units_On_Hand],""),IF(_xlpm.x="","Missing",_xlpm.x))</f>
        <v>Missing</v>
      </c>
      <c r="K32" t="str">
        <f>_xlfn.LET(_xlpm.x,_xlfn.XLOOKUP(A32,Table2[SKU_Code],Table2[Reorder_Lvl],""),IF(_xlpm.x="","Missing",_xlpm.x))</f>
        <v>Missing</v>
      </c>
      <c r="L32" t="str">
        <f t="shared" si="3"/>
        <v>Missing</v>
      </c>
      <c r="M32" t="str">
        <f t="shared" si="4"/>
        <v>Missing</v>
      </c>
    </row>
    <row r="33" spans="1:13">
      <c r="A33" t="s">
        <v>82</v>
      </c>
      <c r="B33" t="str">
        <f>_xlfn.XLOOKUP(A33,Table1[SKU_Code],Table1[Product_Name],"Missing")</f>
        <v>Khaki Cargo Jacket</v>
      </c>
      <c r="C33" t="str">
        <f>_xlfn.XLOOKUP(A33,Table1[SKU_Code],Table1[Category],"Missing")</f>
        <v>Outerwear</v>
      </c>
      <c r="D33" s="3">
        <f>_xlfn.XLOOKUP(A33,Table17[Row Labels],Table17[Average Monthly Qty],"Missing")</f>
        <v>4.583333333333333</v>
      </c>
      <c r="E33" s="3">
        <f>_xlfn.XLOOKUP(A33,Table17[Row Labels],Table17[Std Dev],"Missing")</f>
        <v>3.5227435646413752</v>
      </c>
      <c r="F33">
        <f t="shared" si="0"/>
        <v>0.15</v>
      </c>
      <c r="G33">
        <v>14</v>
      </c>
      <c r="H33">
        <f t="shared" si="1"/>
        <v>4</v>
      </c>
      <c r="I33">
        <f t="shared" si="2"/>
        <v>6</v>
      </c>
      <c r="J33">
        <f>_xlfn.LET(_xlpm.x,_xlfn.XLOOKUP(A33,Table2[SKU_Code],Table2[Units_On_Hand],""),IF(_xlpm.x="","Missing",_xlpm.x))</f>
        <v>29</v>
      </c>
      <c r="K33">
        <f>_xlfn.LET(_xlpm.x,_xlfn.XLOOKUP(A33,Table2[SKU_Code],Table2[Reorder_Lvl],""),IF(_xlpm.x="","Missing",_xlpm.x))</f>
        <v>18</v>
      </c>
      <c r="L33">
        <f t="shared" si="3"/>
        <v>193</v>
      </c>
      <c r="M33" t="str">
        <f t="shared" si="4"/>
        <v>OK</v>
      </c>
    </row>
    <row r="34" spans="1:13">
      <c r="A34" t="s">
        <v>18</v>
      </c>
      <c r="B34" t="str">
        <f>_xlfn.XLOOKUP(A34,Table1[SKU_Code],Table1[Product_Name],"Missing")</f>
        <v>Beige Knit Cardigan</v>
      </c>
      <c r="C34" t="str">
        <f>_xlfn.XLOOKUP(A34,Table1[SKU_Code],Table1[Category],"Missing")</f>
        <v>Knitwear</v>
      </c>
      <c r="D34" s="3">
        <f>_xlfn.XLOOKUP(A34,Table17[Row Labels],Table17[Average Monthly Qty],"Missing")</f>
        <v>5.2222222222222223</v>
      </c>
      <c r="E34" s="3">
        <f>_xlfn.XLOOKUP(A34,Table17[Row Labels],Table17[Std Dev],"Missing")</f>
        <v>3.8809442659051068</v>
      </c>
      <c r="F34">
        <f t="shared" si="0"/>
        <v>0.17</v>
      </c>
      <c r="G34">
        <v>14</v>
      </c>
      <c r="H34">
        <f t="shared" si="1"/>
        <v>4</v>
      </c>
      <c r="I34">
        <f t="shared" si="2"/>
        <v>6</v>
      </c>
      <c r="J34" t="str">
        <f>_xlfn.LET(_xlpm.x,_xlfn.XLOOKUP(A34,Table2[SKU_Code],Table2[Units_On_Hand],""),IF(_xlpm.x="","Missing",_xlpm.x))</f>
        <v>Missing</v>
      </c>
      <c r="K34">
        <f>_xlfn.LET(_xlpm.x,_xlfn.XLOOKUP(A34,Table2[SKU_Code],Table2[Reorder_Lvl],""),IF(_xlpm.x="","Missing",_xlpm.x))</f>
        <v>11</v>
      </c>
      <c r="L34" t="str">
        <f t="shared" si="3"/>
        <v>Missing</v>
      </c>
      <c r="M34" t="str">
        <f t="shared" si="4"/>
        <v>Missing</v>
      </c>
    </row>
    <row r="35" spans="1:13">
      <c r="A35" t="s">
        <v>122</v>
      </c>
      <c r="B35" t="str">
        <f>_xlfn.XLOOKUP(A35,Table1[SKU_Code],Table1[Product_Name],"Missing")</f>
        <v>Pyjama Set Printed</v>
      </c>
      <c r="C35" t="str">
        <f>_xlfn.XLOOKUP(A35,Table1[SKU_Code],Table1[Category],"Missing")</f>
        <v>Pyjamas</v>
      </c>
      <c r="D35" s="3">
        <f>_xlfn.XLOOKUP(A35,Table17[Row Labels],Table17[Average Monthly Qty],"Missing")</f>
        <v>5</v>
      </c>
      <c r="E35" s="3">
        <f>_xlfn.XLOOKUP(A35,Table17[Row Labels],Table17[Std Dev],"Missing")</f>
        <v>4.5607017003965522</v>
      </c>
      <c r="F35">
        <f t="shared" si="0"/>
        <v>0.17</v>
      </c>
      <c r="G35">
        <v>14</v>
      </c>
      <c r="H35">
        <f t="shared" si="1"/>
        <v>5</v>
      </c>
      <c r="I35">
        <f t="shared" si="2"/>
        <v>7</v>
      </c>
      <c r="J35">
        <f>_xlfn.LET(_xlpm.x,_xlfn.XLOOKUP(A35,Table2[SKU_Code],Table2[Units_On_Hand],""),IF(_xlpm.x="","Missing",_xlpm.x))</f>
        <v>13</v>
      </c>
      <c r="K35">
        <f>_xlfn.LET(_xlpm.x,_xlfn.XLOOKUP(A35,Table2[SKU_Code],Table2[Reorder_Lvl],""),IF(_xlpm.x="","Missing",_xlpm.x))</f>
        <v>19</v>
      </c>
      <c r="L35">
        <f t="shared" si="3"/>
        <v>76</v>
      </c>
      <c r="M35" t="str">
        <f t="shared" si="4"/>
        <v>OK</v>
      </c>
    </row>
    <row r="36" spans="1:13">
      <c r="A36" t="s">
        <v>55</v>
      </c>
      <c r="B36" t="str">
        <f>_xlfn.XLOOKUP(A36,Table1[SKU_Code],Table1[Product_Name],"Missing")</f>
        <v>White Basic Tee</v>
      </c>
      <c r="C36" t="str">
        <f>_xlfn.XLOOKUP(A36,Table1[SKU_Code],Table1[Category],"Missing")</f>
        <v>Basics</v>
      </c>
      <c r="D36" s="3">
        <f>_xlfn.XLOOKUP(A36,Table17[Row Labels],Table17[Average Monthly Qty],"Missing")</f>
        <v>5.333333333333333</v>
      </c>
      <c r="E36" s="3">
        <f>_xlfn.XLOOKUP(A36,Table17[Row Labels],Table17[Std Dev],"Missing")</f>
        <v>4.0069384267237691</v>
      </c>
      <c r="F36">
        <f t="shared" si="0"/>
        <v>0.18</v>
      </c>
      <c r="G36">
        <v>14</v>
      </c>
      <c r="H36">
        <f t="shared" si="1"/>
        <v>5</v>
      </c>
      <c r="I36">
        <f t="shared" si="2"/>
        <v>8</v>
      </c>
      <c r="J36">
        <f>_xlfn.LET(_xlpm.x,_xlfn.XLOOKUP(A36,Table2[SKU_Code],Table2[Units_On_Hand],""),IF(_xlpm.x="","Missing",_xlpm.x))</f>
        <v>22</v>
      </c>
      <c r="K36">
        <f>_xlfn.LET(_xlpm.x,_xlfn.XLOOKUP(A36,Table2[SKU_Code],Table2[Reorder_Lvl],""),IF(_xlpm.x="","Missing",_xlpm.x))</f>
        <v>15</v>
      </c>
      <c r="L36">
        <f t="shared" si="3"/>
        <v>122</v>
      </c>
      <c r="M36" t="str">
        <f t="shared" si="4"/>
        <v>OK</v>
      </c>
    </row>
    <row r="37" spans="1:13">
      <c r="A37" t="s">
        <v>108</v>
      </c>
      <c r="B37" t="str">
        <f>_xlfn.XLOOKUP(A37,Table1[SKU_Code],Table1[Product_Name],"Missing")</f>
        <v>White Basic Tee</v>
      </c>
      <c r="C37" t="str">
        <f>_xlfn.XLOOKUP(A37,Table1[SKU_Code],Table1[Category],"Missing")</f>
        <v>Basics</v>
      </c>
      <c r="D37" s="3">
        <f>_xlfn.XLOOKUP(A37,Table17[Row Labels],Table17[Average Monthly Qty],"Missing")</f>
        <v>5.2727272727272725</v>
      </c>
      <c r="E37" s="3">
        <f>_xlfn.XLOOKUP(A37,Table17[Row Labels],Table17[Std Dev],"Missing")</f>
        <v>2.7990553306073913</v>
      </c>
      <c r="F37">
        <f t="shared" si="0"/>
        <v>0.18</v>
      </c>
      <c r="G37">
        <v>14</v>
      </c>
      <c r="H37">
        <f t="shared" si="1"/>
        <v>3</v>
      </c>
      <c r="I37">
        <f t="shared" si="2"/>
        <v>6</v>
      </c>
      <c r="J37">
        <f>_xlfn.LET(_xlpm.x,_xlfn.XLOOKUP(A37,Table2[SKU_Code],Table2[Units_On_Hand],""),IF(_xlpm.x="","Missing",_xlpm.x))</f>
        <v>16</v>
      </c>
      <c r="K37">
        <f>_xlfn.LET(_xlpm.x,_xlfn.XLOOKUP(A37,Table2[SKU_Code],Table2[Reorder_Lvl],""),IF(_xlpm.x="","Missing",_xlpm.x))</f>
        <v>12</v>
      </c>
      <c r="L37">
        <f t="shared" si="3"/>
        <v>89</v>
      </c>
      <c r="M37" t="str">
        <f t="shared" si="4"/>
        <v>OK</v>
      </c>
    </row>
    <row r="38" spans="1:13">
      <c r="A38" t="s">
        <v>162</v>
      </c>
      <c r="B38" t="str">
        <f>_xlfn.XLOOKUP(A38,Table1[SKU_Code],Table1[Product_Name],"Missing")</f>
        <v>White Basic Tee</v>
      </c>
      <c r="C38" t="str">
        <f>_xlfn.XLOOKUP(A38,Table1[SKU_Code],Table1[Category],"Missing")</f>
        <v>Basics</v>
      </c>
      <c r="D38" s="3">
        <f>_xlfn.XLOOKUP(A38,Table17[Row Labels],Table17[Average Monthly Qty],"Missing")</f>
        <v>6.4545454545454541</v>
      </c>
      <c r="E38" s="3">
        <f>_xlfn.XLOOKUP(A38,Table17[Row Labels],Table17[Std Dev],"Missing")</f>
        <v>4.3560540184403411</v>
      </c>
      <c r="F38">
        <f t="shared" si="0"/>
        <v>0.22</v>
      </c>
      <c r="G38">
        <v>14</v>
      </c>
      <c r="H38">
        <f t="shared" si="1"/>
        <v>5</v>
      </c>
      <c r="I38">
        <f t="shared" si="2"/>
        <v>8</v>
      </c>
      <c r="J38">
        <f>_xlfn.LET(_xlpm.x,_xlfn.XLOOKUP(A38,Table2[SKU_Code],Table2[Units_On_Hand],""),IF(_xlpm.x="","Missing",_xlpm.x))</f>
        <v>28</v>
      </c>
      <c r="K38">
        <f>_xlfn.LET(_xlpm.x,_xlfn.XLOOKUP(A38,Table2[SKU_Code],Table2[Reorder_Lvl],""),IF(_xlpm.x="","Missing",_xlpm.x))</f>
        <v>13</v>
      </c>
      <c r="L38">
        <f t="shared" si="3"/>
        <v>127</v>
      </c>
      <c r="M38" t="str">
        <f t="shared" si="4"/>
        <v>OK</v>
      </c>
    </row>
    <row r="39" spans="1:13">
      <c r="A39" t="s">
        <v>147</v>
      </c>
      <c r="B39" t="str">
        <f>_xlfn.XLOOKUP(A39,Table1[SKU_Code],Table1[Product_Name],"Missing")</f>
        <v>Grey Maxi Dress</v>
      </c>
      <c r="C39" t="str">
        <f>_xlfn.XLOOKUP(A39,Table1[SKU_Code],Table1[Category],"Missing")</f>
        <v>Dresses</v>
      </c>
      <c r="D39" s="3">
        <f>_xlfn.XLOOKUP(A39,Table17[Row Labels],Table17[Average Monthly Qty],"Missing")</f>
        <v>3.7272727272727271</v>
      </c>
      <c r="E39" s="3">
        <f>_xlfn.XLOOKUP(A39,Table17[Row Labels],Table17[Std Dev],"Missing")</f>
        <v>2.9569919940528351</v>
      </c>
      <c r="F39">
        <f t="shared" si="0"/>
        <v>0.12</v>
      </c>
      <c r="G39">
        <v>14</v>
      </c>
      <c r="H39">
        <f t="shared" si="1"/>
        <v>3</v>
      </c>
      <c r="I39">
        <f t="shared" si="2"/>
        <v>5</v>
      </c>
      <c r="J39">
        <f>_xlfn.LET(_xlpm.x,_xlfn.XLOOKUP(A39,Table2[SKU_Code],Table2[Units_On_Hand],""),IF(_xlpm.x="","Missing",_xlpm.x))</f>
        <v>3</v>
      </c>
      <c r="K39">
        <f>_xlfn.LET(_xlpm.x,_xlfn.XLOOKUP(A39,Table2[SKU_Code],Table2[Reorder_Lvl],""),IF(_xlpm.x="","Missing",_xlpm.x))</f>
        <v>10</v>
      </c>
      <c r="L39">
        <f t="shared" si="3"/>
        <v>25</v>
      </c>
      <c r="M39" t="str">
        <f t="shared" si="4"/>
        <v>Reorder Now</v>
      </c>
    </row>
    <row r="40" spans="1:13">
      <c r="A40" t="s">
        <v>90</v>
      </c>
      <c r="B40" t="str">
        <f>_xlfn.XLOOKUP(A40,Table1[SKU_Code],Table1[Product_Name],"Missing")</f>
        <v>Rust Co-ord Set</v>
      </c>
      <c r="C40" t="str">
        <f>_xlfn.XLOOKUP(A40,Table1[SKU_Code],Table1[Category],"Missing")</f>
        <v>Co-ord Sets</v>
      </c>
      <c r="D40" s="3">
        <f>_xlfn.XLOOKUP(A40,Table17[Row Labels],Table17[Average Monthly Qty],"Missing")</f>
        <v>4.8181818181818183</v>
      </c>
      <c r="E40" s="3">
        <f>_xlfn.XLOOKUP(A40,Table17[Row Labels],Table17[Std Dev],"Missing")</f>
        <v>2.4052284646041735</v>
      </c>
      <c r="F40">
        <f t="shared" si="0"/>
        <v>0.16</v>
      </c>
      <c r="G40">
        <v>14</v>
      </c>
      <c r="H40">
        <f t="shared" si="1"/>
        <v>3</v>
      </c>
      <c r="I40">
        <f t="shared" si="2"/>
        <v>5</v>
      </c>
      <c r="J40">
        <f>_xlfn.LET(_xlpm.x,_xlfn.XLOOKUP(A40,Table2[SKU_Code],Table2[Units_On_Hand],""),IF(_xlpm.x="","Missing",_xlpm.x))</f>
        <v>10</v>
      </c>
      <c r="K40">
        <f>_xlfn.LET(_xlpm.x,_xlfn.XLOOKUP(A40,Table2[SKU_Code],Table2[Reorder_Lvl],""),IF(_xlpm.x="","Missing",_xlpm.x))</f>
        <v>13</v>
      </c>
      <c r="L40">
        <f t="shared" si="3"/>
        <v>63</v>
      </c>
      <c r="M40" t="str">
        <f t="shared" si="4"/>
        <v>OK</v>
      </c>
    </row>
    <row r="41" spans="1:13">
      <c r="A41" t="s">
        <v>23</v>
      </c>
      <c r="B41" t="str">
        <f>_xlfn.XLOOKUP(A41,Table1[SKU_Code],Table1[Product_Name],"Missing")</f>
        <v>Navy Wide Leg Pants</v>
      </c>
      <c r="C41" t="str">
        <f>_xlfn.XLOOKUP(A41,Table1[SKU_Code],Table1[Category],"Missing")</f>
        <v>Bottoms</v>
      </c>
      <c r="D41" s="3">
        <f>_xlfn.XLOOKUP(A41,Table17[Row Labels],Table17[Average Monthly Qty],"Missing")</f>
        <v>4.2727272727272725</v>
      </c>
      <c r="E41" s="3">
        <f>_xlfn.XLOOKUP(A41,Table17[Row Labels],Table17[Std Dev],"Missing")</f>
        <v>2.5968830649246728</v>
      </c>
      <c r="F41">
        <f t="shared" si="0"/>
        <v>0.14000000000000001</v>
      </c>
      <c r="G41">
        <v>14</v>
      </c>
      <c r="H41">
        <f t="shared" si="1"/>
        <v>3</v>
      </c>
      <c r="I41">
        <f t="shared" si="2"/>
        <v>5</v>
      </c>
      <c r="J41">
        <f>_xlfn.LET(_xlpm.x,_xlfn.XLOOKUP(A41,Table2[SKU_Code],Table2[Units_On_Hand],""),IF(_xlpm.x="","Missing",_xlpm.x))</f>
        <v>30</v>
      </c>
      <c r="K41">
        <f>_xlfn.LET(_xlpm.x,_xlfn.XLOOKUP(A41,Table2[SKU_Code],Table2[Reorder_Lvl],""),IF(_xlpm.x="","Missing",_xlpm.x))</f>
        <v>20</v>
      </c>
      <c r="L41">
        <f t="shared" si="3"/>
        <v>214</v>
      </c>
      <c r="M41" t="str">
        <f t="shared" si="4"/>
        <v>OK</v>
      </c>
    </row>
  </sheetData>
  <autoFilter ref="A1:M41" xr:uid="{3C2BA48C-1303-4804-9BBE-643BFB9C3B04}"/>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D5F7-488A-4F23-9EEB-7BA58D04F863}">
  <dimension ref="A1:T41"/>
  <sheetViews>
    <sheetView showGridLines="0" topLeftCell="D1" zoomScale="80" zoomScaleNormal="80" workbookViewId="0">
      <selection activeCell="A43" sqref="A43"/>
    </sheetView>
  </sheetViews>
  <sheetFormatPr defaultRowHeight="14.25"/>
  <cols>
    <col min="1" max="1" width="9.9296875" bestFit="1" customWidth="1"/>
    <col min="2" max="2" width="21.1328125" bestFit="1" customWidth="1"/>
    <col min="3" max="3" width="15.265625" bestFit="1" customWidth="1"/>
    <col min="4" max="4" width="10.86328125" bestFit="1" customWidth="1"/>
    <col min="5" max="5" width="16.46484375" style="34" bestFit="1" customWidth="1"/>
    <col min="6" max="6" width="10.19921875" bestFit="1" customWidth="1"/>
    <col min="7" max="7" width="12.73046875" bestFit="1" customWidth="1"/>
    <col min="8" max="8" width="17.3984375" bestFit="1" customWidth="1"/>
    <col min="9" max="9" width="14.73046875" bestFit="1" customWidth="1"/>
    <col min="10" max="10" width="14.59765625" bestFit="1" customWidth="1"/>
    <col min="11" max="11" width="24.06640625" bestFit="1" customWidth="1"/>
    <col min="12" max="12" width="10.19921875" bestFit="1" customWidth="1"/>
    <col min="13" max="13" width="20.59765625" bestFit="1" customWidth="1"/>
    <col min="14" max="14" width="20.86328125" bestFit="1" customWidth="1"/>
    <col min="15" max="15" width="7.265625" bestFit="1" customWidth="1"/>
    <col min="16" max="16" width="13.265625" bestFit="1" customWidth="1"/>
    <col min="17" max="17" width="16.53125" customWidth="1"/>
    <col min="18" max="18" width="10.33203125" customWidth="1"/>
    <col min="19" max="19" width="16.53125" customWidth="1"/>
    <col min="20" max="20" width="21.46484375" customWidth="1"/>
  </cols>
  <sheetData>
    <row r="1" spans="1:20">
      <c r="A1" s="53" t="s">
        <v>1269</v>
      </c>
      <c r="B1" s="53" t="s">
        <v>1470</v>
      </c>
      <c r="C1" s="53" t="s">
        <v>1506</v>
      </c>
      <c r="D1" s="53" t="s">
        <v>1507</v>
      </c>
      <c r="E1" s="54" t="s">
        <v>1508</v>
      </c>
      <c r="F1" s="53" t="s">
        <v>1509</v>
      </c>
      <c r="G1" s="53" t="s">
        <v>1510</v>
      </c>
      <c r="H1" s="53" t="s">
        <v>1511</v>
      </c>
      <c r="I1" s="53" t="s">
        <v>1512</v>
      </c>
      <c r="J1" s="53" t="s">
        <v>1513</v>
      </c>
      <c r="K1" s="53" t="s">
        <v>1514</v>
      </c>
      <c r="L1" s="53" t="s">
        <v>1515</v>
      </c>
      <c r="M1" s="58" t="s">
        <v>1516</v>
      </c>
      <c r="N1" s="53" t="s">
        <v>1517</v>
      </c>
      <c r="O1" s="53" t="s">
        <v>1518</v>
      </c>
      <c r="P1" s="53" t="s">
        <v>1519</v>
      </c>
    </row>
    <row r="2" spans="1:20">
      <c r="A2" t="s">
        <v>88</v>
      </c>
      <c r="B2" t="s">
        <v>10</v>
      </c>
      <c r="C2">
        <f>IFERROR(_xlfn.XLOOKUP(A2,Table2[SKU_Code],Table2[Received_Qty]),"Missing")</f>
        <v>82</v>
      </c>
      <c r="D2">
        <f>IFERROR(SUMIF(Table4[SKU_Code], A2, Table4[Qty]), "Missing")</f>
        <v>41</v>
      </c>
      <c r="E2" s="57">
        <f>IFERROR(D2/C2,"Missing")</f>
        <v>0.5</v>
      </c>
      <c r="F2">
        <f>IFERROR(_xlfn.XLOOKUP(A2, Table1[SKU_Code], Table1[Cost_IRR]), "Missing")</f>
        <v>185000</v>
      </c>
      <c r="G2">
        <f>IFERROR(_xlfn.XLOOKUP(A2,Table1[SKU_Code],Table1[RRP_IRR]),"Missing")</f>
        <v>420000</v>
      </c>
      <c r="H2" s="56">
        <f>IFERROR((G2-F2)/G2, "Missing")</f>
        <v>0.55952380952380953</v>
      </c>
      <c r="I2" s="13">
        <f>SUMIF(Table4[SKU_Code],'Financial Analysis'!A2,Table4[Revenue])</f>
        <v>16590000</v>
      </c>
      <c r="J2">
        <f>_xlfn.RANK.EQ(I2,$I$2:$I$41,0)</f>
        <v>12</v>
      </c>
      <c r="K2" s="52">
        <f>SUMIF($J$2:$J$41,"&lt;="&amp;J2,$I$2:$I$41)/SUM($I$2:$I$41)</f>
        <v>0.47056008251780362</v>
      </c>
      <c r="L2" s="55" t="str">
        <f>IF(K2&lt;=0.7,"A",IF(K2&lt;=0.9,"B","C"))</f>
        <v>A</v>
      </c>
      <c r="M2" s="52">
        <f>I2-(D2*F2)</f>
        <v>9005000</v>
      </c>
      <c r="N2">
        <f>C2*F2</f>
        <v>15170000</v>
      </c>
      <c r="O2">
        <f>IFERROR(ROUND(M2/N2,2),"Missing")</f>
        <v>0.59</v>
      </c>
      <c r="P2" s="59" t="str">
        <f>IF(O2&gt;=2,"A",IF(O2&gt;=1,"B","C"))</f>
        <v>C</v>
      </c>
    </row>
    <row r="3" spans="1:20">
      <c r="A3" t="s">
        <v>215</v>
      </c>
      <c r="B3" t="s">
        <v>10</v>
      </c>
      <c r="C3">
        <f>IFERROR(_xlfn.XLOOKUP(A3,Table2[SKU_Code],Table2[Received_Qty]),"Missing")</f>
        <v>134</v>
      </c>
      <c r="D3">
        <f>IFERROR(SUMIF(Table4[SKU_Code], A3, Table4[Qty]), "Missing")</f>
        <v>69</v>
      </c>
      <c r="E3" s="57">
        <f t="shared" ref="E3:E41" si="0">IFERROR(D3/C3,"Missing")</f>
        <v>0.5149253731343284</v>
      </c>
      <c r="F3">
        <f>IFERROR(_xlfn.XLOOKUP(A3, Table1[SKU_Code], Table1[Cost_IRR]), "Missing")</f>
        <v>185000</v>
      </c>
      <c r="G3">
        <f>IFERROR(_xlfn.XLOOKUP(A3,Table1[SKU_Code],Table1[RRP_IRR]),"Missing")</f>
        <v>420000</v>
      </c>
      <c r="H3" s="56">
        <f t="shared" ref="H3:H41" si="1">IFERROR((G3-F3)/G3, "Missing")</f>
        <v>0.55952380952380953</v>
      </c>
      <c r="I3" s="13">
        <f>SUMIF(Table4[SKU_Code],'Financial Analysis'!A3,Table4[Revenue])</f>
        <v>28098000</v>
      </c>
      <c r="J3">
        <f t="shared" ref="J3:J41" si="2">_xlfn.RANK.EQ(I3,$I$2:$I$41,0)</f>
        <v>4</v>
      </c>
      <c r="K3" s="52">
        <f t="shared" ref="K3:K41" si="3">SUMIF($J$2:$J$41,"&lt;="&amp;J3,$I$2:$I$41)/SUM($I$2:$I$41)</f>
        <v>0.19482560888292569</v>
      </c>
      <c r="L3" s="55" t="str">
        <f t="shared" ref="L3:L41" si="4">IF(K3&lt;=0.7,"A",IF(K3&lt;=0.9,"B","C"))</f>
        <v>A</v>
      </c>
      <c r="M3" s="52">
        <f t="shared" ref="M3:M41" si="5">I3-(D3*F3)</f>
        <v>15333000</v>
      </c>
      <c r="N3">
        <f t="shared" ref="N3:N41" si="6">C3*F3</f>
        <v>24790000</v>
      </c>
      <c r="O3">
        <f t="shared" ref="O3:O41" si="7">IFERROR(ROUND(M3/N3,2),"Missing")</f>
        <v>0.62</v>
      </c>
      <c r="P3" s="59" t="str">
        <f t="shared" ref="P3:P41" si="8">IF(O3&gt;=2,"A",IF(O3&gt;=1,"B","C"))</f>
        <v>C</v>
      </c>
    </row>
    <row r="4" spans="1:20">
      <c r="A4" t="s">
        <v>15</v>
      </c>
      <c r="B4" t="s">
        <v>10</v>
      </c>
      <c r="C4">
        <f>IFERROR(_xlfn.XLOOKUP(A4,Table2[SKU_Code],Table2[Received_Qty]),"Missing")</f>
        <v>33</v>
      </c>
      <c r="D4">
        <f>IFERROR(SUMIF(Table4[SKU_Code], A4, Table4[Qty]), "Missing")</f>
        <v>62</v>
      </c>
      <c r="E4" s="57">
        <f t="shared" si="0"/>
        <v>1.8787878787878789</v>
      </c>
      <c r="F4">
        <f>IFERROR(_xlfn.XLOOKUP(A4, Table1[SKU_Code], Table1[Cost_IRR]), "Missing")</f>
        <v>185000</v>
      </c>
      <c r="G4">
        <f>IFERROR(_xlfn.XLOOKUP(A4,Table1[SKU_Code],Table1[RRP_IRR]),"Missing")</f>
        <v>420000</v>
      </c>
      <c r="H4" s="56">
        <f t="shared" si="1"/>
        <v>0.55952380952380953</v>
      </c>
      <c r="I4" s="13">
        <f>SUMIF(Table4[SKU_Code],'Financial Analysis'!A4,Table4[Revenue])</f>
        <v>24990000</v>
      </c>
      <c r="J4">
        <f t="shared" si="2"/>
        <v>5</v>
      </c>
      <c r="K4" s="52">
        <f t="shared" si="3"/>
        <v>0.23691656070941866</v>
      </c>
      <c r="L4" s="55" t="str">
        <f t="shared" si="4"/>
        <v>A</v>
      </c>
      <c r="M4" s="52">
        <f t="shared" si="5"/>
        <v>13520000</v>
      </c>
      <c r="N4">
        <f t="shared" si="6"/>
        <v>6105000</v>
      </c>
      <c r="O4">
        <f t="shared" si="7"/>
        <v>2.21</v>
      </c>
      <c r="P4" s="59" t="str">
        <f t="shared" si="8"/>
        <v>A</v>
      </c>
    </row>
    <row r="5" spans="1:20">
      <c r="A5" t="s">
        <v>49</v>
      </c>
      <c r="B5" t="s">
        <v>50</v>
      </c>
      <c r="C5">
        <f>IFERROR(_xlfn.XLOOKUP(A5,Table2[SKU_Code],Table2[Received_Qty]),"Missing")</f>
        <v>39</v>
      </c>
      <c r="D5">
        <f>IFERROR(SUMIF(Table4[SKU_Code], A5, Table4[Qty]), "Missing")</f>
        <v>63</v>
      </c>
      <c r="E5" s="57">
        <f t="shared" si="0"/>
        <v>1.6153846153846154</v>
      </c>
      <c r="F5">
        <f>IFERROR(_xlfn.XLOOKUP(A5, Table1[SKU_Code], Table1[Cost_IRR]), "Missing")</f>
        <v>95000</v>
      </c>
      <c r="G5">
        <f>IFERROR(_xlfn.XLOOKUP(A5,Table1[SKU_Code],Table1[RRP_IRR]),"Missing")</f>
        <v>220000</v>
      </c>
      <c r="H5" s="56">
        <f t="shared" si="1"/>
        <v>0.56818181818181823</v>
      </c>
      <c r="I5" s="13">
        <f>SUMIF(Table4[SKU_Code],'Financial Analysis'!A5,Table4[Revenue])</f>
        <v>13585000</v>
      </c>
      <c r="J5">
        <f t="shared" si="2"/>
        <v>19</v>
      </c>
      <c r="K5" s="52">
        <f t="shared" si="3"/>
        <v>0.64268285267846836</v>
      </c>
      <c r="L5" s="55" t="str">
        <f t="shared" si="4"/>
        <v>A</v>
      </c>
      <c r="M5" s="52">
        <f t="shared" si="5"/>
        <v>7600000</v>
      </c>
      <c r="N5">
        <f t="shared" si="6"/>
        <v>3705000</v>
      </c>
      <c r="O5">
        <f t="shared" si="7"/>
        <v>2.0499999999999998</v>
      </c>
      <c r="P5" s="59" t="str">
        <f t="shared" si="8"/>
        <v>A</v>
      </c>
      <c r="S5" t="s">
        <v>1525</v>
      </c>
      <c r="T5" t="s">
        <v>1526</v>
      </c>
    </row>
    <row r="6" spans="1:20">
      <c r="A6" t="s">
        <v>228</v>
      </c>
      <c r="B6" t="s">
        <v>50</v>
      </c>
      <c r="C6">
        <f>IFERROR(_xlfn.XLOOKUP(A6,Table2[SKU_Code],Table2[Received_Qty]),"Missing")</f>
        <v>51</v>
      </c>
      <c r="D6">
        <f>IFERROR(SUMIF(Table4[SKU_Code], A6, Table4[Qty]), "Missing")</f>
        <v>68</v>
      </c>
      <c r="E6" s="57">
        <f t="shared" si="0"/>
        <v>1.3333333333333333</v>
      </c>
      <c r="F6">
        <f>IFERROR(_xlfn.XLOOKUP(A6, Table1[SKU_Code], Table1[Cost_IRR]), "Missing")</f>
        <v>95000</v>
      </c>
      <c r="G6">
        <f>IFERROR(_xlfn.XLOOKUP(A6,Table1[SKU_Code],Table1[RRP_IRR]),"Missing")</f>
        <v>220000</v>
      </c>
      <c r="H6" s="56">
        <f t="shared" si="1"/>
        <v>0.56818181818181823</v>
      </c>
      <c r="I6" s="13">
        <f>SUMIF(Table4[SKU_Code],'Financial Analysis'!A6,Table4[Revenue])</f>
        <v>14256000</v>
      </c>
      <c r="J6">
        <f t="shared" si="2"/>
        <v>16</v>
      </c>
      <c r="K6" s="52">
        <f t="shared" si="3"/>
        <v>0.57271864598848299</v>
      </c>
      <c r="L6" s="55" t="str">
        <f t="shared" si="4"/>
        <v>A</v>
      </c>
      <c r="M6" s="52">
        <f t="shared" si="5"/>
        <v>7796000</v>
      </c>
      <c r="N6">
        <f t="shared" si="6"/>
        <v>4845000</v>
      </c>
      <c r="O6">
        <f t="shared" si="7"/>
        <v>1.61</v>
      </c>
      <c r="P6" s="59" t="str">
        <f t="shared" si="8"/>
        <v>B</v>
      </c>
      <c r="R6" t="s">
        <v>1527</v>
      </c>
      <c r="S6">
        <v>20</v>
      </c>
      <c r="T6">
        <v>5</v>
      </c>
    </row>
    <row r="7" spans="1:20">
      <c r="A7" t="s">
        <v>94</v>
      </c>
      <c r="B7" t="s">
        <v>50</v>
      </c>
      <c r="C7">
        <f>IFERROR(_xlfn.XLOOKUP(A7,Table2[SKU_Code],Table2[Received_Qty]),"Missing")</f>
        <v>146</v>
      </c>
      <c r="D7">
        <f>IFERROR(SUMIF(Table4[SKU_Code], A7, Table4[Qty]), "Missing")</f>
        <v>59</v>
      </c>
      <c r="E7" s="57">
        <f t="shared" si="0"/>
        <v>0.4041095890410959</v>
      </c>
      <c r="F7">
        <f>IFERROR(_xlfn.XLOOKUP(A7, Table1[SKU_Code], Table1[Cost_IRR]), "Missing")</f>
        <v>95000</v>
      </c>
      <c r="G7">
        <f>IFERROR(_xlfn.XLOOKUP(A7,Table1[SKU_Code],Table1[RRP_IRR]),"Missing")</f>
        <v>220000</v>
      </c>
      <c r="H7" s="56">
        <f t="shared" si="1"/>
        <v>0.56818181818181823</v>
      </c>
      <c r="I7" s="13">
        <f>SUMIF(Table4[SKU_Code],'Financial Analysis'!A7,Table4[Revenue])</f>
        <v>12672000</v>
      </c>
      <c r="J7">
        <f t="shared" si="2"/>
        <v>22</v>
      </c>
      <c r="K7" s="52">
        <f t="shared" si="3"/>
        <v>0.70886493722654143</v>
      </c>
      <c r="L7" s="55" t="str">
        <f t="shared" si="4"/>
        <v>B</v>
      </c>
      <c r="M7" s="52">
        <f t="shared" si="5"/>
        <v>7067000</v>
      </c>
      <c r="N7">
        <f t="shared" si="6"/>
        <v>13870000</v>
      </c>
      <c r="O7">
        <f t="shared" si="7"/>
        <v>0.51</v>
      </c>
      <c r="P7" s="59" t="str">
        <f t="shared" si="8"/>
        <v>C</v>
      </c>
      <c r="R7" t="s">
        <v>1528</v>
      </c>
      <c r="S7">
        <v>12</v>
      </c>
      <c r="T7">
        <v>13</v>
      </c>
    </row>
    <row r="8" spans="1:20">
      <c r="A8" t="s">
        <v>75</v>
      </c>
      <c r="B8" t="s">
        <v>32</v>
      </c>
      <c r="C8">
        <f>IFERROR(_xlfn.XLOOKUP(A8,Table2[SKU_Code],Table2[Received_Qty]),"Missing")</f>
        <v>135</v>
      </c>
      <c r="D8">
        <f>IFERROR(SUMIF(Table4[SKU_Code], A8, Table4[Qty]), "Missing")</f>
        <v>58</v>
      </c>
      <c r="E8" s="57">
        <f t="shared" si="0"/>
        <v>0.42962962962962964</v>
      </c>
      <c r="F8">
        <f>IFERROR(_xlfn.XLOOKUP(A8, Table1[SKU_Code], Table1[Cost_IRR]), "Missing")</f>
        <v>95000</v>
      </c>
      <c r="G8">
        <f>IFERROR(_xlfn.XLOOKUP(A8,Table1[SKU_Code],Table1[RRP_IRR]),"Missing")</f>
        <v>215000</v>
      </c>
      <c r="H8" s="56">
        <f t="shared" si="1"/>
        <v>0.55813953488372092</v>
      </c>
      <c r="I8" s="13">
        <f>SUMIF(Table4[SKU_Code],'Financial Analysis'!A8,Table4[Revenue])</f>
        <v>12018500</v>
      </c>
      <c r="J8">
        <f t="shared" si="2"/>
        <v>24</v>
      </c>
      <c r="K8" s="52">
        <f t="shared" si="3"/>
        <v>0.75004130774684052</v>
      </c>
      <c r="L8" s="55" t="str">
        <f t="shared" si="4"/>
        <v>B</v>
      </c>
      <c r="M8" s="52">
        <f t="shared" si="5"/>
        <v>6508500</v>
      </c>
      <c r="N8">
        <f t="shared" si="6"/>
        <v>12825000</v>
      </c>
      <c r="O8">
        <f t="shared" si="7"/>
        <v>0.51</v>
      </c>
      <c r="P8" s="59" t="str">
        <f t="shared" si="8"/>
        <v>C</v>
      </c>
      <c r="R8" t="s">
        <v>1529</v>
      </c>
      <c r="S8">
        <v>8</v>
      </c>
      <c r="T8">
        <v>22</v>
      </c>
    </row>
    <row r="9" spans="1:20">
      <c r="A9" t="s">
        <v>31</v>
      </c>
      <c r="B9" t="s">
        <v>32</v>
      </c>
      <c r="C9">
        <f>IFERROR(_xlfn.XLOOKUP(A9,Table2[SKU_Code],Table2[Received_Qty]),"Missing")</f>
        <v>119</v>
      </c>
      <c r="D9">
        <f>IFERROR(SUMIF(Table4[SKU_Code], A9, Table4[Qty]), "Missing")</f>
        <v>74</v>
      </c>
      <c r="E9" s="57">
        <f t="shared" si="0"/>
        <v>0.62184873949579833</v>
      </c>
      <c r="F9">
        <f>IFERROR(_xlfn.XLOOKUP(A9, Table1[SKU_Code], Table1[Cost_IRR]), "Missing")</f>
        <v>95000</v>
      </c>
      <c r="G9">
        <f>IFERROR(_xlfn.XLOOKUP(A9,Table1[SKU_Code],Table1[RRP_IRR]),"Missing")</f>
        <v>215000</v>
      </c>
      <c r="H9" s="56">
        <f t="shared" si="1"/>
        <v>0.55813953488372092</v>
      </c>
      <c r="I9" s="13">
        <f>SUMIF(Table4[SKU_Code],'Financial Analysis'!A9,Table4[Revenue])</f>
        <v>15544500</v>
      </c>
      <c r="J9">
        <f t="shared" si="2"/>
        <v>14</v>
      </c>
      <c r="K9" s="52">
        <f t="shared" si="3"/>
        <v>0.52449595706217622</v>
      </c>
      <c r="L9" s="55" t="str">
        <f t="shared" si="4"/>
        <v>A</v>
      </c>
      <c r="M9" s="52">
        <f t="shared" si="5"/>
        <v>8514500</v>
      </c>
      <c r="N9">
        <f t="shared" si="6"/>
        <v>11305000</v>
      </c>
      <c r="O9">
        <f t="shared" si="7"/>
        <v>0.75</v>
      </c>
      <c r="P9" s="59" t="str">
        <f t="shared" si="8"/>
        <v>C</v>
      </c>
    </row>
    <row r="10" spans="1:20">
      <c r="A10" t="s">
        <v>27</v>
      </c>
      <c r="B10" t="s">
        <v>28</v>
      </c>
      <c r="C10">
        <f>IFERROR(_xlfn.XLOOKUP(A10,Table2[SKU_Code],Table2[Received_Qty]),"Missing")</f>
        <v>58</v>
      </c>
      <c r="D10">
        <f>IFERROR(SUMIF(Table4[SKU_Code], A10, Table4[Qty]), "Missing")</f>
        <v>71</v>
      </c>
      <c r="E10" s="57">
        <f t="shared" si="0"/>
        <v>1.2241379310344827</v>
      </c>
      <c r="F10">
        <f>IFERROR(_xlfn.XLOOKUP(A10, Table1[SKU_Code], Table1[Cost_IRR]), "Missing")</f>
        <v>95000</v>
      </c>
      <c r="G10">
        <f>IFERROR(_xlfn.XLOOKUP(A10,Table1[SKU_Code],Table1[RRP_IRR]),"Missing")</f>
        <v>210000</v>
      </c>
      <c r="H10" s="56">
        <f t="shared" si="1"/>
        <v>0.54761904761904767</v>
      </c>
      <c r="I10" s="13">
        <f>SUMIF(Table4[SKU_Code],'Financial Analysis'!A10,Table4[Revenue])</f>
        <v>14374500</v>
      </c>
      <c r="J10">
        <f t="shared" si="2"/>
        <v>15</v>
      </c>
      <c r="K10" s="52">
        <f t="shared" si="3"/>
        <v>0.54870709699934805</v>
      </c>
      <c r="L10" s="55" t="str">
        <f t="shared" si="4"/>
        <v>A</v>
      </c>
      <c r="M10" s="52">
        <f t="shared" si="5"/>
        <v>7629500</v>
      </c>
      <c r="N10">
        <f t="shared" si="6"/>
        <v>5510000</v>
      </c>
      <c r="O10">
        <f t="shared" si="7"/>
        <v>1.38</v>
      </c>
      <c r="P10" s="59" t="str">
        <f t="shared" si="8"/>
        <v>B</v>
      </c>
    </row>
    <row r="11" spans="1:20">
      <c r="A11" t="s">
        <v>104</v>
      </c>
      <c r="B11" t="s">
        <v>105</v>
      </c>
      <c r="C11">
        <f>IFERROR(_xlfn.XLOOKUP(A11,Table2[SKU_Code],Table2[Received_Qty]),"Missing")</f>
        <v>95</v>
      </c>
      <c r="D11">
        <f>IFERROR(SUMIF(Table4[SKU_Code], A11, Table4[Qty]), "Missing")</f>
        <v>40</v>
      </c>
      <c r="E11" s="57">
        <f t="shared" si="0"/>
        <v>0.42105263157894735</v>
      </c>
      <c r="F11">
        <f>IFERROR(_xlfn.XLOOKUP(A11, Table1[SKU_Code], Table1[Cost_IRR]), "Missing")</f>
        <v>95000</v>
      </c>
      <c r="G11">
        <f>IFERROR(_xlfn.XLOOKUP(A11,Table1[SKU_Code],Table1[RRP_IRR]),"Missing")</f>
        <v>210000</v>
      </c>
      <c r="H11" s="56">
        <f t="shared" si="1"/>
        <v>0.54761904761904767</v>
      </c>
      <c r="I11" s="13">
        <f>SUMIF(Table4[SKU_Code],'Financial Analysis'!A11,Table4[Revenue])</f>
        <v>8242500</v>
      </c>
      <c r="J11">
        <f t="shared" si="2"/>
        <v>36</v>
      </c>
      <c r="K11" s="52">
        <f t="shared" si="3"/>
        <v>0.95301317485531345</v>
      </c>
      <c r="L11" s="55" t="str">
        <f t="shared" si="4"/>
        <v>C</v>
      </c>
      <c r="M11" s="52">
        <f t="shared" si="5"/>
        <v>4442500</v>
      </c>
      <c r="N11">
        <f t="shared" si="6"/>
        <v>9025000</v>
      </c>
      <c r="O11">
        <f t="shared" si="7"/>
        <v>0.49</v>
      </c>
      <c r="P11" s="59" t="str">
        <f t="shared" si="8"/>
        <v>C</v>
      </c>
    </row>
    <row r="12" spans="1:20">
      <c r="A12" t="s">
        <v>38</v>
      </c>
      <c r="B12" t="s">
        <v>39</v>
      </c>
      <c r="C12">
        <f>IFERROR(_xlfn.XLOOKUP(A12,Table2[SKU_Code],Table2[Received_Qty]),"Missing")</f>
        <v>92</v>
      </c>
      <c r="D12">
        <f>IFERROR(SUMIF(Table4[SKU_Code], A12, Table4[Qty]), "Missing")</f>
        <v>38</v>
      </c>
      <c r="E12" s="57">
        <f t="shared" si="0"/>
        <v>0.41304347826086957</v>
      </c>
      <c r="F12">
        <f>IFERROR(_xlfn.XLOOKUP(A12, Table1[SKU_Code], Table1[Cost_IRR]), "Missing")</f>
        <v>140000</v>
      </c>
      <c r="G12">
        <f>IFERROR(_xlfn.XLOOKUP(A12,Table1[SKU_Code],Table1[RRP_IRR]),"Missing")</f>
        <v>320000</v>
      </c>
      <c r="H12" s="56">
        <f t="shared" si="1"/>
        <v>0.5625</v>
      </c>
      <c r="I12" s="13">
        <f>SUMIF(Table4[SKU_Code],'Financial Analysis'!A12,Table4[Revenue])</f>
        <v>11920000</v>
      </c>
      <c r="J12">
        <f t="shared" si="2"/>
        <v>26</v>
      </c>
      <c r="K12" s="52">
        <f t="shared" si="3"/>
        <v>0.79028162198552399</v>
      </c>
      <c r="L12" s="55" t="str">
        <f t="shared" si="4"/>
        <v>B</v>
      </c>
      <c r="M12" s="52">
        <f t="shared" si="5"/>
        <v>6600000</v>
      </c>
      <c r="N12">
        <f t="shared" si="6"/>
        <v>12880000</v>
      </c>
      <c r="O12">
        <f t="shared" si="7"/>
        <v>0.51</v>
      </c>
      <c r="P12" s="59" t="str">
        <f t="shared" si="8"/>
        <v>C</v>
      </c>
    </row>
    <row r="13" spans="1:20">
      <c r="A13" t="s">
        <v>173</v>
      </c>
      <c r="B13" t="s">
        <v>39</v>
      </c>
      <c r="C13">
        <f>IFERROR(_xlfn.XLOOKUP(A13,Table2[SKU_Code],Table2[Received_Qty]),"Missing")</f>
        <v>139</v>
      </c>
      <c r="D13">
        <f>IFERROR(SUMIF(Table4[SKU_Code], A13, Table4[Qty]), "Missing")</f>
        <v>42</v>
      </c>
      <c r="E13" s="57">
        <f t="shared" si="0"/>
        <v>0.30215827338129497</v>
      </c>
      <c r="F13">
        <f>IFERROR(_xlfn.XLOOKUP(A13, Table1[SKU_Code], Table1[Cost_IRR]), "Missing")</f>
        <v>140000</v>
      </c>
      <c r="G13">
        <f>IFERROR(_xlfn.XLOOKUP(A13,Table1[SKU_Code],Table1[RRP_IRR]),"Missing")</f>
        <v>320000</v>
      </c>
      <c r="H13" s="56">
        <f t="shared" si="1"/>
        <v>0.5625</v>
      </c>
      <c r="I13" s="13">
        <f>SUMIF(Table4[SKU_Code],'Financial Analysis'!A13,Table4[Revenue])</f>
        <v>13184000</v>
      </c>
      <c r="J13">
        <f t="shared" si="2"/>
        <v>21</v>
      </c>
      <c r="K13" s="52">
        <f t="shared" si="3"/>
        <v>0.68752133812508809</v>
      </c>
      <c r="L13" s="55" t="str">
        <f t="shared" si="4"/>
        <v>A</v>
      </c>
      <c r="M13" s="52">
        <f t="shared" si="5"/>
        <v>7304000</v>
      </c>
      <c r="N13">
        <f t="shared" si="6"/>
        <v>19460000</v>
      </c>
      <c r="O13">
        <f t="shared" si="7"/>
        <v>0.38</v>
      </c>
      <c r="P13" s="59" t="str">
        <f t="shared" si="8"/>
        <v>C</v>
      </c>
    </row>
    <row r="14" spans="1:20">
      <c r="A14" t="s">
        <v>131</v>
      </c>
      <c r="B14" t="s">
        <v>132</v>
      </c>
      <c r="C14">
        <f>IFERROR(_xlfn.XLOOKUP(A14,Table2[SKU_Code],Table2[Received_Qty]),"Missing")</f>
        <v>46</v>
      </c>
      <c r="D14">
        <f>IFERROR(SUMIF(Table4[SKU_Code], A14, Table4[Qty]), "Missing")</f>
        <v>61</v>
      </c>
      <c r="E14" s="57">
        <f t="shared" si="0"/>
        <v>1.326086956521739</v>
      </c>
      <c r="F14">
        <f>IFERROR(_xlfn.XLOOKUP(A14, Table1[SKU_Code], Table1[Cost_IRR]), "Missing")</f>
        <v>120000</v>
      </c>
      <c r="G14">
        <f>IFERROR(_xlfn.XLOOKUP(A14,Table1[SKU_Code],Table1[RRP_IRR]),"Missing")</f>
        <v>280000</v>
      </c>
      <c r="H14" s="56">
        <f t="shared" si="1"/>
        <v>0.5714285714285714</v>
      </c>
      <c r="I14" s="13">
        <f>SUMIF(Table4[SKU_Code],'Financial Analysis'!A14,Table4[Revenue])</f>
        <v>16478000</v>
      </c>
      <c r="J14">
        <f t="shared" si="2"/>
        <v>13</v>
      </c>
      <c r="K14" s="52">
        <f t="shared" si="3"/>
        <v>0.49831417232160319</v>
      </c>
      <c r="L14" s="55" t="str">
        <f t="shared" si="4"/>
        <v>A</v>
      </c>
      <c r="M14" s="52">
        <f t="shared" si="5"/>
        <v>9158000</v>
      </c>
      <c r="N14">
        <f t="shared" si="6"/>
        <v>5520000</v>
      </c>
      <c r="O14">
        <f t="shared" si="7"/>
        <v>1.66</v>
      </c>
      <c r="P14" s="59" t="str">
        <f t="shared" si="8"/>
        <v>B</v>
      </c>
    </row>
    <row r="15" spans="1:20">
      <c r="A15" t="s">
        <v>60</v>
      </c>
      <c r="B15" t="s">
        <v>61</v>
      </c>
      <c r="C15">
        <f>IFERROR(_xlfn.XLOOKUP(A15,Table2[SKU_Code],Table2[Received_Qty]),"Missing")</f>
        <v>62</v>
      </c>
      <c r="D15">
        <f>IFERROR(SUMIF(Table4[SKU_Code], A15, Table4[Qty]), "Missing")</f>
        <v>55</v>
      </c>
      <c r="E15" s="57">
        <f t="shared" si="0"/>
        <v>0.88709677419354838</v>
      </c>
      <c r="F15">
        <f>IFERROR(_xlfn.XLOOKUP(A15, Table1[SKU_Code], Table1[Cost_IRR]), "Missing")</f>
        <v>110000</v>
      </c>
      <c r="G15">
        <f>IFERROR(_xlfn.XLOOKUP(A15,Table1[SKU_Code],Table1[RRP_IRR]),"Missing")</f>
        <v>260000</v>
      </c>
      <c r="H15" s="56">
        <f t="shared" si="1"/>
        <v>0.57692307692307687</v>
      </c>
      <c r="I15" s="13">
        <f>SUMIF(Table4[SKU_Code],'Financial Analysis'!A15,Table4[Revenue])</f>
        <v>13897000</v>
      </c>
      <c r="J15">
        <f t="shared" si="2"/>
        <v>18</v>
      </c>
      <c r="K15" s="52">
        <f t="shared" si="3"/>
        <v>0.61980147690564302</v>
      </c>
      <c r="L15" s="55" t="str">
        <f t="shared" si="4"/>
        <v>A</v>
      </c>
      <c r="M15" s="52">
        <f t="shared" si="5"/>
        <v>7847000</v>
      </c>
      <c r="N15">
        <f t="shared" si="6"/>
        <v>6820000</v>
      </c>
      <c r="O15">
        <f t="shared" si="7"/>
        <v>1.1499999999999999</v>
      </c>
      <c r="P15" s="59" t="str">
        <f t="shared" si="8"/>
        <v>B</v>
      </c>
    </row>
    <row r="16" spans="1:20">
      <c r="A16" t="s">
        <v>139</v>
      </c>
      <c r="B16" t="s">
        <v>61</v>
      </c>
      <c r="C16">
        <f>IFERROR(_xlfn.XLOOKUP(A16,Table2[SKU_Code],Table2[Received_Qty]),"Missing")</f>
        <v>37</v>
      </c>
      <c r="D16">
        <f>IFERROR(SUMIF(Table4[SKU_Code], A16, Table4[Qty]), "Missing")</f>
        <v>43</v>
      </c>
      <c r="E16" s="57">
        <f t="shared" si="0"/>
        <v>1.1621621621621621</v>
      </c>
      <c r="F16">
        <f>IFERROR(_xlfn.XLOOKUP(A16, Table1[SKU_Code], Table1[Cost_IRR]), "Missing")</f>
        <v>110000</v>
      </c>
      <c r="G16">
        <f>IFERROR(_xlfn.XLOOKUP(A16,Table1[SKU_Code],Table1[RRP_IRR]),"Missing")</f>
        <v>260000</v>
      </c>
      <c r="H16" s="56">
        <f t="shared" si="1"/>
        <v>0.57692307692307687</v>
      </c>
      <c r="I16" s="13">
        <f>SUMIF(Table4[SKU_Code],'Financial Analysis'!A16,Table4[Revenue])</f>
        <v>11115000</v>
      </c>
      <c r="J16">
        <f t="shared" si="2"/>
        <v>27</v>
      </c>
      <c r="K16" s="52">
        <f t="shared" si="3"/>
        <v>0.80900274761783575</v>
      </c>
      <c r="L16" s="55" t="str">
        <f t="shared" si="4"/>
        <v>B</v>
      </c>
      <c r="M16" s="52">
        <f t="shared" si="5"/>
        <v>6385000</v>
      </c>
      <c r="N16">
        <f t="shared" si="6"/>
        <v>4070000</v>
      </c>
      <c r="O16">
        <f t="shared" si="7"/>
        <v>1.57</v>
      </c>
      <c r="P16" s="59" t="str">
        <f t="shared" si="8"/>
        <v>B</v>
      </c>
    </row>
    <row r="17" spans="1:16">
      <c r="A17" t="s">
        <v>46</v>
      </c>
      <c r="B17" t="s">
        <v>44</v>
      </c>
      <c r="C17">
        <f>IFERROR(_xlfn.XLOOKUP(A17,Table2[SKU_Code],Table2[Received_Qty]),"Missing")</f>
        <v>38</v>
      </c>
      <c r="D17">
        <f>IFERROR(SUMIF(Table4[SKU_Code], A17, Table4[Qty]), "Missing")</f>
        <v>39</v>
      </c>
      <c r="E17" s="57">
        <f t="shared" si="0"/>
        <v>1.0263157894736843</v>
      </c>
      <c r="F17">
        <f>IFERROR(_xlfn.XLOOKUP(A17, Table1[SKU_Code], Table1[Cost_IRR]), "Missing")</f>
        <v>105000</v>
      </c>
      <c r="G17">
        <f>IFERROR(_xlfn.XLOOKUP(A17,Table1[SKU_Code],Table1[RRP_IRR]),"Missing")</f>
        <v>235000</v>
      </c>
      <c r="H17" s="56">
        <f t="shared" si="1"/>
        <v>0.55319148936170215</v>
      </c>
      <c r="I17" s="13">
        <f>SUMIF(Table4[SKU_Code],'Financial Analysis'!A17,Table4[Revenue])</f>
        <v>8988750</v>
      </c>
      <c r="J17">
        <f t="shared" si="2"/>
        <v>33</v>
      </c>
      <c r="K17" s="52">
        <f t="shared" si="3"/>
        <v>0.91069231446842358</v>
      </c>
      <c r="L17" s="55" t="str">
        <f t="shared" si="4"/>
        <v>C</v>
      </c>
      <c r="M17" s="52">
        <f t="shared" si="5"/>
        <v>4893750</v>
      </c>
      <c r="N17">
        <f t="shared" si="6"/>
        <v>3990000</v>
      </c>
      <c r="O17">
        <f t="shared" si="7"/>
        <v>1.23</v>
      </c>
      <c r="P17" s="59" t="str">
        <f t="shared" si="8"/>
        <v>B</v>
      </c>
    </row>
    <row r="18" spans="1:16">
      <c r="A18" t="s">
        <v>43</v>
      </c>
      <c r="B18" t="s">
        <v>44</v>
      </c>
      <c r="C18">
        <f>IFERROR(_xlfn.XLOOKUP(A18,Table2[SKU_Code],Table2[Received_Qty]),"Missing")</f>
        <v>139</v>
      </c>
      <c r="D18">
        <f>IFERROR(SUMIF(Table4[SKU_Code], A18, Table4[Qty]), "Missing")</f>
        <v>46</v>
      </c>
      <c r="E18" s="57">
        <f t="shared" si="0"/>
        <v>0.33093525179856115</v>
      </c>
      <c r="F18">
        <f>IFERROR(_xlfn.XLOOKUP(A18, Table1[SKU_Code], Table1[Cost_IRR]), "Missing")</f>
        <v>105000</v>
      </c>
      <c r="G18">
        <f>IFERROR(_xlfn.XLOOKUP(A18,Table1[SKU_Code],Table1[RRP_IRR]),"Missing")</f>
        <v>235000</v>
      </c>
      <c r="H18" s="56">
        <f t="shared" si="1"/>
        <v>0.55319148936170215</v>
      </c>
      <c r="I18" s="13">
        <f>SUMIF(Table4[SKU_Code],'Financial Analysis'!A18,Table4[Revenue])</f>
        <v>10387000</v>
      </c>
      <c r="J18">
        <f t="shared" si="2"/>
        <v>29</v>
      </c>
      <c r="K18" s="52">
        <f t="shared" si="3"/>
        <v>0.84502680834872934</v>
      </c>
      <c r="L18" s="55" t="str">
        <f t="shared" si="4"/>
        <v>B</v>
      </c>
      <c r="M18" s="52">
        <f t="shared" si="5"/>
        <v>5557000</v>
      </c>
      <c r="N18">
        <f t="shared" si="6"/>
        <v>14595000</v>
      </c>
      <c r="O18">
        <f t="shared" si="7"/>
        <v>0.38</v>
      </c>
      <c r="P18" s="59" t="str">
        <f t="shared" si="8"/>
        <v>C</v>
      </c>
    </row>
    <row r="19" spans="1:16">
      <c r="A19" t="s">
        <v>250</v>
      </c>
      <c r="B19" t="s">
        <v>53</v>
      </c>
      <c r="C19">
        <f>IFERROR(_xlfn.XLOOKUP(A19,Table2[SKU_Code],Table2[Received_Qty]),"Missing")</f>
        <v>129</v>
      </c>
      <c r="D19">
        <f>IFERROR(SUMIF(Table4[SKU_Code], A19, Table4[Qty]), "Missing")</f>
        <v>46</v>
      </c>
      <c r="E19" s="57">
        <f t="shared" si="0"/>
        <v>0.35658914728682173</v>
      </c>
      <c r="F19">
        <f>IFERROR(_xlfn.XLOOKUP(A19, Table1[SKU_Code], Table1[Cost_IRR]), "Missing")</f>
        <v>85000</v>
      </c>
      <c r="G19">
        <f>IFERROR(_xlfn.XLOOKUP(A19,Table1[SKU_Code],Table1[RRP_IRR]),"Missing")</f>
        <v>195000</v>
      </c>
      <c r="H19" s="56">
        <f t="shared" si="1"/>
        <v>0.5641025641025641</v>
      </c>
      <c r="I19" s="13">
        <f>SUMIF(Table4[SKU_Code],'Financial Analysis'!A19,Table4[Revenue])</f>
        <v>8443500</v>
      </c>
      <c r="J19">
        <f t="shared" si="2"/>
        <v>34</v>
      </c>
      <c r="K19" s="52">
        <f t="shared" si="3"/>
        <v>0.92491380113296917</v>
      </c>
      <c r="L19" s="55" t="str">
        <f t="shared" si="4"/>
        <v>C</v>
      </c>
      <c r="M19" s="52">
        <f t="shared" si="5"/>
        <v>4533500</v>
      </c>
      <c r="N19">
        <f t="shared" si="6"/>
        <v>10965000</v>
      </c>
      <c r="O19">
        <f t="shared" si="7"/>
        <v>0.41</v>
      </c>
      <c r="P19" s="59" t="str">
        <f t="shared" si="8"/>
        <v>C</v>
      </c>
    </row>
    <row r="20" spans="1:16">
      <c r="A20" t="s">
        <v>52</v>
      </c>
      <c r="B20" t="s">
        <v>53</v>
      </c>
      <c r="C20">
        <f>IFERROR(_xlfn.XLOOKUP(A20,Table2[SKU_Code],Table2[Received_Qty]),"Missing")</f>
        <v>66</v>
      </c>
      <c r="D20">
        <f>IFERROR(SUMIF(Table4[SKU_Code], A20, Table4[Qty]), "Missing")</f>
        <v>54</v>
      </c>
      <c r="E20" s="57">
        <f t="shared" si="0"/>
        <v>0.81818181818181823</v>
      </c>
      <c r="F20">
        <f>IFERROR(_xlfn.XLOOKUP(A20, Table1[SKU_Code], Table1[Cost_IRR]), "Missing")</f>
        <v>85000</v>
      </c>
      <c r="G20">
        <f>IFERROR(_xlfn.XLOOKUP(A20,Table1[SKU_Code],Table1[RRP_IRR]),"Missing")</f>
        <v>195000</v>
      </c>
      <c r="H20" s="56">
        <f t="shared" si="1"/>
        <v>0.5641025641025641</v>
      </c>
      <c r="I20" s="13">
        <f>SUMIF(Table4[SKU_Code],'Financial Analysis'!A20,Table4[Revenue])</f>
        <v>10354500</v>
      </c>
      <c r="J20">
        <f t="shared" si="2"/>
        <v>30</v>
      </c>
      <c r="K20" s="52">
        <f t="shared" si="3"/>
        <v>0.86246701485883026</v>
      </c>
      <c r="L20" s="55" t="str">
        <f t="shared" si="4"/>
        <v>B</v>
      </c>
      <c r="M20" s="52">
        <f t="shared" si="5"/>
        <v>5764500</v>
      </c>
      <c r="N20">
        <f t="shared" si="6"/>
        <v>5610000</v>
      </c>
      <c r="O20">
        <f t="shared" si="7"/>
        <v>1.03</v>
      </c>
      <c r="P20" s="59" t="str">
        <f t="shared" si="8"/>
        <v>B</v>
      </c>
    </row>
    <row r="21" spans="1:16">
      <c r="A21" t="s">
        <v>34</v>
      </c>
      <c r="B21" t="s">
        <v>35</v>
      </c>
      <c r="C21">
        <f>IFERROR(_xlfn.XLOOKUP(A21,Table2[SKU_Code],Table2[Received_Qty]),"Missing")</f>
        <v>66</v>
      </c>
      <c r="D21">
        <f>IFERROR(SUMIF(Table4[SKU_Code], A21, Table4[Qty]), "Missing")</f>
        <v>48</v>
      </c>
      <c r="E21" s="57">
        <f t="shared" si="0"/>
        <v>0.72727272727272729</v>
      </c>
      <c r="F21">
        <f>IFERROR(_xlfn.XLOOKUP(A21, Table1[SKU_Code], Table1[Cost_IRR]), "Missing")</f>
        <v>88000</v>
      </c>
      <c r="G21">
        <f>IFERROR(_xlfn.XLOOKUP(A21,Table1[SKU_Code],Table1[RRP_IRR]),"Missing")</f>
        <v>198000</v>
      </c>
      <c r="H21" s="56">
        <f t="shared" si="1"/>
        <v>0.55555555555555558</v>
      </c>
      <c r="I21" s="13">
        <f>SUMIF(Table4[SKU_Code],'Financial Analysis'!A21,Table4[Revenue])</f>
        <v>9375300</v>
      </c>
      <c r="J21">
        <f t="shared" si="2"/>
        <v>32</v>
      </c>
      <c r="K21" s="52">
        <f t="shared" si="3"/>
        <v>0.89555245679613915</v>
      </c>
      <c r="L21" s="55" t="str">
        <f t="shared" si="4"/>
        <v>B</v>
      </c>
      <c r="M21" s="52">
        <f t="shared" si="5"/>
        <v>5151300</v>
      </c>
      <c r="N21">
        <f t="shared" si="6"/>
        <v>5808000</v>
      </c>
      <c r="O21">
        <f t="shared" si="7"/>
        <v>0.89</v>
      </c>
      <c r="P21" s="59" t="str">
        <f t="shared" si="8"/>
        <v>C</v>
      </c>
    </row>
    <row r="22" spans="1:16">
      <c r="A22" t="s">
        <v>133</v>
      </c>
      <c r="B22" t="s">
        <v>102</v>
      </c>
      <c r="C22">
        <f>IFERROR(_xlfn.XLOOKUP(A22,Table2[SKU_Code],Table2[Received_Qty]),"Missing")</f>
        <v>105</v>
      </c>
      <c r="D22">
        <f>IFERROR(SUMIF(Table4[SKU_Code], A22, Table4[Qty]), "Missing")</f>
        <v>69</v>
      </c>
      <c r="E22" s="57">
        <f t="shared" si="0"/>
        <v>0.65714285714285714</v>
      </c>
      <c r="F22">
        <f>IFERROR(_xlfn.XLOOKUP(A22, Table1[SKU_Code], Table1[Cost_IRR]), "Missing")</f>
        <v>190000</v>
      </c>
      <c r="G22">
        <f>IFERROR(_xlfn.XLOOKUP(A22,Table1[SKU_Code],Table1[RRP_IRR]),"Missing")</f>
        <v>430000</v>
      </c>
      <c r="H22" s="56">
        <f t="shared" si="1"/>
        <v>0.55813953488372092</v>
      </c>
      <c r="I22" s="13">
        <f>SUMIF(Table4[SKU_Code],'Financial Analysis'!A22,Table4[Revenue])</f>
        <v>28831500</v>
      </c>
      <c r="J22">
        <f t="shared" si="2"/>
        <v>2</v>
      </c>
      <c r="K22" s="52">
        <f t="shared" si="3"/>
        <v>0.10003043551418586</v>
      </c>
      <c r="L22" s="55" t="str">
        <f t="shared" si="4"/>
        <v>A</v>
      </c>
      <c r="M22" s="52">
        <f t="shared" si="5"/>
        <v>15721500</v>
      </c>
      <c r="N22">
        <f t="shared" si="6"/>
        <v>19950000</v>
      </c>
      <c r="O22">
        <f t="shared" si="7"/>
        <v>0.79</v>
      </c>
      <c r="P22" s="59" t="str">
        <f t="shared" si="8"/>
        <v>C</v>
      </c>
    </row>
    <row r="23" spans="1:16">
      <c r="A23" t="s">
        <v>101</v>
      </c>
      <c r="B23" t="s">
        <v>102</v>
      </c>
      <c r="C23">
        <f>IFERROR(_xlfn.XLOOKUP(A23,Table2[SKU_Code],Table2[Received_Qty]),"Missing")</f>
        <v>32</v>
      </c>
      <c r="D23">
        <f>IFERROR(SUMIF(Table4[SKU_Code], A23, Table4[Qty]), "Missing")</f>
        <v>55</v>
      </c>
      <c r="E23" s="57">
        <f t="shared" si="0"/>
        <v>1.71875</v>
      </c>
      <c r="F23">
        <f>IFERROR(_xlfn.XLOOKUP(A23, Table1[SKU_Code], Table1[Cost_IRR]), "Missing")</f>
        <v>190000</v>
      </c>
      <c r="G23">
        <f>IFERROR(_xlfn.XLOOKUP(A23,Table1[SKU_Code],Table1[RRP_IRR]),"Missing")</f>
        <v>430000</v>
      </c>
      <c r="H23" s="56">
        <f t="shared" si="1"/>
        <v>0.55813953488372092</v>
      </c>
      <c r="I23" s="13">
        <f>SUMIF(Table4[SKU_Code],'Financial Analysis'!A23,Table4[Revenue])</f>
        <v>22790000</v>
      </c>
      <c r="J23">
        <f t="shared" si="2"/>
        <v>6</v>
      </c>
      <c r="K23" s="52">
        <f t="shared" si="3"/>
        <v>0.27530202658079822</v>
      </c>
      <c r="L23" s="55" t="str">
        <f t="shared" si="4"/>
        <v>A</v>
      </c>
      <c r="M23" s="52">
        <f t="shared" si="5"/>
        <v>12340000</v>
      </c>
      <c r="N23">
        <f t="shared" si="6"/>
        <v>6080000</v>
      </c>
      <c r="O23">
        <f t="shared" si="7"/>
        <v>2.0299999999999998</v>
      </c>
      <c r="P23" s="59" t="str">
        <f t="shared" si="8"/>
        <v>A</v>
      </c>
    </row>
    <row r="24" spans="1:16">
      <c r="A24" t="s">
        <v>299</v>
      </c>
      <c r="B24" t="s">
        <v>120</v>
      </c>
      <c r="C24">
        <f>IFERROR(_xlfn.XLOOKUP(A24,Table2[SKU_Code],Table2[Received_Qty]),"Missing")</f>
        <v>32</v>
      </c>
      <c r="D24">
        <f>IFERROR(SUMIF(Table4[SKU_Code], A24, Table4[Qty]), "Missing")</f>
        <v>47</v>
      </c>
      <c r="E24" s="57">
        <f t="shared" si="0"/>
        <v>1.46875</v>
      </c>
      <c r="F24">
        <f>IFERROR(_xlfn.XLOOKUP(A24, Table1[SKU_Code], Table1[Cost_IRR]), "Missing")</f>
        <v>195000</v>
      </c>
      <c r="G24">
        <f>IFERROR(_xlfn.XLOOKUP(A24,Table1[SKU_Code],Table1[RRP_IRR]),"Missing")</f>
        <v>440000</v>
      </c>
      <c r="H24" s="56">
        <f t="shared" si="1"/>
        <v>0.55681818181818177</v>
      </c>
      <c r="I24" s="13">
        <f>SUMIF(Table4[SKU_Code],'Financial Analysis'!A24,Table4[Revenue])</f>
        <v>19536000</v>
      </c>
      <c r="J24">
        <f t="shared" si="2"/>
        <v>9</v>
      </c>
      <c r="K24" s="52">
        <f t="shared" si="3"/>
        <v>0.38055298651219954</v>
      </c>
      <c r="L24" s="55" t="str">
        <f t="shared" si="4"/>
        <v>A</v>
      </c>
      <c r="M24" s="52">
        <f t="shared" si="5"/>
        <v>10371000</v>
      </c>
      <c r="N24">
        <f t="shared" si="6"/>
        <v>6240000</v>
      </c>
      <c r="O24">
        <f t="shared" si="7"/>
        <v>1.66</v>
      </c>
      <c r="P24" s="59" t="str">
        <f t="shared" si="8"/>
        <v>B</v>
      </c>
    </row>
    <row r="25" spans="1:16">
      <c r="A25" t="s">
        <v>119</v>
      </c>
      <c r="B25" t="s">
        <v>120</v>
      </c>
      <c r="C25">
        <f>IFERROR(_xlfn.XLOOKUP(A25,Table2[SKU_Code],Table2[Received_Qty]),"Missing")</f>
        <v>34</v>
      </c>
      <c r="D25">
        <f>IFERROR(SUMIF(Table4[SKU_Code], A25, Table4[Qty]), "Missing")</f>
        <v>70</v>
      </c>
      <c r="E25" s="57">
        <f t="shared" si="0"/>
        <v>2.0588235294117645</v>
      </c>
      <c r="F25">
        <f>IFERROR(_xlfn.XLOOKUP(A25, Table1[SKU_Code], Table1[Cost_IRR]), "Missing")</f>
        <v>195000</v>
      </c>
      <c r="G25">
        <f>IFERROR(_xlfn.XLOOKUP(A25,Table1[SKU_Code],Table1[RRP_IRR]),"Missing")</f>
        <v>440000</v>
      </c>
      <c r="H25" s="56">
        <f t="shared" si="1"/>
        <v>0.55681818181818177</v>
      </c>
      <c r="I25" s="13">
        <f>SUMIF(Table4[SKU_Code],'Financial Analysis'!A25,Table4[Revenue])</f>
        <v>30558000</v>
      </c>
      <c r="J25">
        <f>_xlfn.RANK.EQ(I25,$I$2:$I$41,0)</f>
        <v>1</v>
      </c>
      <c r="K25" s="52">
        <f t="shared" si="3"/>
        <v>5.1469199916525508E-2</v>
      </c>
      <c r="L25" s="55" t="str">
        <f t="shared" si="4"/>
        <v>A</v>
      </c>
      <c r="M25" s="52">
        <f t="shared" si="5"/>
        <v>16908000</v>
      </c>
      <c r="N25">
        <f t="shared" si="6"/>
        <v>6630000</v>
      </c>
      <c r="O25">
        <f t="shared" si="7"/>
        <v>2.5499999999999998</v>
      </c>
      <c r="P25" s="59" t="str">
        <f t="shared" si="8"/>
        <v>A</v>
      </c>
    </row>
    <row r="26" spans="1:16">
      <c r="A26" t="s">
        <v>242</v>
      </c>
      <c r="B26" t="s">
        <v>97</v>
      </c>
      <c r="C26">
        <f>IFERROR(_xlfn.XLOOKUP(A26,Table2[SKU_Code],Table2[Received_Qty]),"Missing")</f>
        <v>86</v>
      </c>
      <c r="D26">
        <f>IFERROR(SUMIF(Table4[SKU_Code], A26, Table4[Qty]), "Missing")</f>
        <v>62</v>
      </c>
      <c r="E26" s="57">
        <f t="shared" si="0"/>
        <v>0.72093023255813948</v>
      </c>
      <c r="F26">
        <f>IFERROR(_xlfn.XLOOKUP(A26, Table1[SKU_Code], Table1[Cost_IRR]), "Missing")</f>
        <v>75000</v>
      </c>
      <c r="G26">
        <f>IFERROR(_xlfn.XLOOKUP(A26,Table1[SKU_Code],Table1[RRP_IRR]),"Missing")</f>
        <v>170000</v>
      </c>
      <c r="H26" s="56">
        <f t="shared" si="1"/>
        <v>0.55882352941176472</v>
      </c>
      <c r="I26" s="13">
        <f>SUMIF(Table4[SKU_Code],'Financial Analysis'!A26,Table4[Revenue])</f>
        <v>10268000</v>
      </c>
      <c r="J26">
        <f t="shared" si="2"/>
        <v>31</v>
      </c>
      <c r="K26" s="52">
        <f t="shared" si="3"/>
        <v>0.87976152839842325</v>
      </c>
      <c r="L26" s="55" t="str">
        <f t="shared" si="4"/>
        <v>B</v>
      </c>
      <c r="M26" s="52">
        <f t="shared" si="5"/>
        <v>5618000</v>
      </c>
      <c r="N26">
        <f t="shared" si="6"/>
        <v>6450000</v>
      </c>
      <c r="O26">
        <f t="shared" si="7"/>
        <v>0.87</v>
      </c>
      <c r="P26" s="59" t="str">
        <f t="shared" si="8"/>
        <v>C</v>
      </c>
    </row>
    <row r="27" spans="1:16">
      <c r="A27" t="s">
        <v>96</v>
      </c>
      <c r="B27" t="s">
        <v>97</v>
      </c>
      <c r="C27">
        <f>IFERROR(_xlfn.XLOOKUP(A27,Table2[SKU_Code],Table2[Received_Qty]),"Missing")</f>
        <v>75</v>
      </c>
      <c r="D27">
        <f>IFERROR(SUMIF(Table4[SKU_Code], A27, Table4[Qty]), "Missing")</f>
        <v>51</v>
      </c>
      <c r="E27" s="57">
        <f t="shared" si="0"/>
        <v>0.68</v>
      </c>
      <c r="F27">
        <f>IFERROR(_xlfn.XLOOKUP(A27, Table1[SKU_Code], Table1[Cost_IRR]), "Missing")</f>
        <v>75000</v>
      </c>
      <c r="G27">
        <f>IFERROR(_xlfn.XLOOKUP(A27,Table1[SKU_Code],Table1[RRP_IRR]),"Missing")</f>
        <v>170000</v>
      </c>
      <c r="H27" s="56">
        <f t="shared" si="1"/>
        <v>0.55882352941176472</v>
      </c>
      <c r="I27" s="13">
        <f>SUMIF(Table4[SKU_Code],'Financial Analysis'!A27,Table4[Revenue])</f>
        <v>8440500</v>
      </c>
      <c r="J27">
        <f t="shared" si="2"/>
        <v>35</v>
      </c>
      <c r="K27" s="52">
        <f t="shared" si="3"/>
        <v>0.93913023486212144</v>
      </c>
      <c r="L27" s="55" t="str">
        <f t="shared" si="4"/>
        <v>C</v>
      </c>
      <c r="M27" s="52">
        <f t="shared" si="5"/>
        <v>4615500</v>
      </c>
      <c r="N27">
        <f t="shared" si="6"/>
        <v>5625000</v>
      </c>
      <c r="O27">
        <f t="shared" si="7"/>
        <v>0.82</v>
      </c>
      <c r="P27" s="59" t="str">
        <f t="shared" si="8"/>
        <v>C</v>
      </c>
    </row>
    <row r="28" spans="1:16">
      <c r="A28" t="s">
        <v>64</v>
      </c>
      <c r="B28" t="s">
        <v>65</v>
      </c>
      <c r="C28">
        <f>IFERROR(_xlfn.XLOOKUP(A28,Table2[SKU_Code],Table2[Received_Qty]),"Missing")</f>
        <v>36</v>
      </c>
      <c r="D28">
        <f>IFERROR(SUMIF(Table4[SKU_Code], A28, Table4[Qty]), "Missing")</f>
        <v>49</v>
      </c>
      <c r="E28" s="57">
        <f t="shared" si="0"/>
        <v>1.3611111111111112</v>
      </c>
      <c r="F28">
        <f>IFERROR(_xlfn.XLOOKUP(A28, Table1[SKU_Code], Table1[Cost_IRR]), "Missing")</f>
        <v>130000</v>
      </c>
      <c r="G28">
        <f>IFERROR(_xlfn.XLOOKUP(A28,Table1[SKU_Code],Table1[RRP_IRR]),"Missing")</f>
        <v>295000</v>
      </c>
      <c r="H28" s="56">
        <f t="shared" si="1"/>
        <v>0.55932203389830504</v>
      </c>
      <c r="I28" s="13">
        <f>SUMIF(Table4[SKU_Code],'Financial Analysis'!A28,Table4[Revenue])</f>
        <v>14056750</v>
      </c>
      <c r="J28">
        <f t="shared" si="2"/>
        <v>17</v>
      </c>
      <c r="K28" s="52">
        <f t="shared" si="3"/>
        <v>0.59639459585191057</v>
      </c>
      <c r="L28" s="55" t="str">
        <f t="shared" si="4"/>
        <v>A</v>
      </c>
      <c r="M28" s="52">
        <f t="shared" si="5"/>
        <v>7686750</v>
      </c>
      <c r="N28">
        <f t="shared" si="6"/>
        <v>4680000</v>
      </c>
      <c r="O28">
        <f t="shared" si="7"/>
        <v>1.64</v>
      </c>
      <c r="P28" s="59" t="str">
        <f t="shared" si="8"/>
        <v>B</v>
      </c>
    </row>
    <row r="29" spans="1:16">
      <c r="A29" t="s">
        <v>70</v>
      </c>
      <c r="B29" t="s">
        <v>65</v>
      </c>
      <c r="C29">
        <f>IFERROR(_xlfn.XLOOKUP(A29,Table2[SKU_Code],Table2[Received_Qty]),"Missing")</f>
        <v>64</v>
      </c>
      <c r="D29">
        <f>IFERROR(SUMIF(Table4[SKU_Code], A29, Table4[Qty]), "Missing")</f>
        <v>47</v>
      </c>
      <c r="E29" s="57">
        <f t="shared" si="0"/>
        <v>0.734375</v>
      </c>
      <c r="F29">
        <f>IFERROR(_xlfn.XLOOKUP(A29, Table1[SKU_Code], Table1[Cost_IRR]), "Missing")</f>
        <v>130000</v>
      </c>
      <c r="G29">
        <f>IFERROR(_xlfn.XLOOKUP(A29,Table1[SKU_Code],Table1[RRP_IRR]),"Missing")</f>
        <v>295000</v>
      </c>
      <c r="H29" s="56">
        <f t="shared" si="1"/>
        <v>0.55932203389830504</v>
      </c>
      <c r="I29" s="13">
        <f>SUMIF(Table4[SKU_Code],'Financial Analysis'!A29,Table4[Revenue])</f>
        <v>13437250</v>
      </c>
      <c r="J29">
        <f t="shared" si="2"/>
        <v>20</v>
      </c>
      <c r="K29" s="52">
        <f t="shared" si="3"/>
        <v>0.66531537138317198</v>
      </c>
      <c r="L29" s="55" t="str">
        <f t="shared" si="4"/>
        <v>A</v>
      </c>
      <c r="M29" s="52">
        <f t="shared" si="5"/>
        <v>7327250</v>
      </c>
      <c r="N29">
        <f t="shared" si="6"/>
        <v>8320000</v>
      </c>
      <c r="O29">
        <f t="shared" si="7"/>
        <v>0.88</v>
      </c>
      <c r="P29" s="59" t="str">
        <f t="shared" si="8"/>
        <v>C</v>
      </c>
    </row>
    <row r="30" spans="1:16">
      <c r="A30" t="s">
        <v>144</v>
      </c>
      <c r="B30" t="s">
        <v>142</v>
      </c>
      <c r="C30">
        <f>IFERROR(_xlfn.XLOOKUP(A30,Table2[SKU_Code],Table2[Received_Qty]),"Missing")</f>
        <v>30</v>
      </c>
      <c r="D30">
        <f>IFERROR(SUMIF(Table4[SKU_Code], A30, Table4[Qty]), "Missing")</f>
        <v>59</v>
      </c>
      <c r="E30" s="57">
        <f t="shared" si="0"/>
        <v>1.9666666666666666</v>
      </c>
      <c r="F30">
        <f>IFERROR(_xlfn.XLOOKUP(A30, Table1[SKU_Code], Table1[Cost_IRR]), "Missing")</f>
        <v>145000</v>
      </c>
      <c r="G30">
        <f>IFERROR(_xlfn.XLOOKUP(A30,Table1[SKU_Code],Table1[RRP_IRR]),"Missing")</f>
        <v>330000</v>
      </c>
      <c r="H30" s="56">
        <f t="shared" si="1"/>
        <v>0.56060606060606055</v>
      </c>
      <c r="I30" s="13">
        <f>SUMIF(Table4[SKU_Code],'Financial Analysis'!A30,Table4[Revenue])</f>
        <v>18892500</v>
      </c>
      <c r="J30">
        <f t="shared" si="2"/>
        <v>10</v>
      </c>
      <c r="K30" s="52">
        <f t="shared" si="3"/>
        <v>0.41237384715173614</v>
      </c>
      <c r="L30" s="55" t="str">
        <f t="shared" si="4"/>
        <v>A</v>
      </c>
      <c r="M30" s="52">
        <f t="shared" si="5"/>
        <v>10337500</v>
      </c>
      <c r="N30">
        <f t="shared" si="6"/>
        <v>4350000</v>
      </c>
      <c r="O30">
        <f t="shared" si="7"/>
        <v>2.38</v>
      </c>
      <c r="P30" s="59" t="str">
        <f t="shared" si="8"/>
        <v>A</v>
      </c>
    </row>
    <row r="31" spans="1:16">
      <c r="A31" t="s">
        <v>184</v>
      </c>
      <c r="B31" t="s">
        <v>110</v>
      </c>
      <c r="C31">
        <f>IFERROR(_xlfn.XLOOKUP(A31,Table2[SKU_Code],Table2[Received_Qty]),"Missing")</f>
        <v>81</v>
      </c>
      <c r="D31">
        <f>IFERROR(SUMIF(Table4[SKU_Code], A31, Table4[Qty]), "Missing")</f>
        <v>55</v>
      </c>
      <c r="E31" s="57">
        <f t="shared" si="0"/>
        <v>0.67901234567901236</v>
      </c>
      <c r="F31">
        <f>IFERROR(_xlfn.XLOOKUP(A31, Table1[SKU_Code], Table1[Cost_IRR]), "Missing")</f>
        <v>145000</v>
      </c>
      <c r="G31">
        <f>IFERROR(_xlfn.XLOOKUP(A31,Table1[SKU_Code],Table1[RRP_IRR]),"Missing")</f>
        <v>335000</v>
      </c>
      <c r="H31" s="56">
        <f t="shared" si="1"/>
        <v>0.56716417910447758</v>
      </c>
      <c r="I31" s="13">
        <f>SUMIF(Table4[SKU_Code],'Financial Analysis'!A31,Table4[Revenue])</f>
        <v>17956000</v>
      </c>
      <c r="J31">
        <f t="shared" si="2"/>
        <v>11</v>
      </c>
      <c r="K31" s="52">
        <f t="shared" si="3"/>
        <v>0.44261734979265277</v>
      </c>
      <c r="L31" s="55" t="str">
        <f t="shared" si="4"/>
        <v>A</v>
      </c>
      <c r="M31" s="52">
        <f t="shared" si="5"/>
        <v>9981000</v>
      </c>
      <c r="N31">
        <f t="shared" si="6"/>
        <v>11745000</v>
      </c>
      <c r="O31">
        <f t="shared" si="7"/>
        <v>0.85</v>
      </c>
      <c r="P31" s="59" t="str">
        <f t="shared" si="8"/>
        <v>C</v>
      </c>
    </row>
    <row r="32" spans="1:16">
      <c r="A32" t="s">
        <v>153</v>
      </c>
      <c r="B32" t="s">
        <v>83</v>
      </c>
      <c r="C32">
        <f>IFERROR(_xlfn.XLOOKUP(A32,Table2[SKU_Code],Table2[Received_Qty]),"Missing")</f>
        <v>118</v>
      </c>
      <c r="D32">
        <f>IFERROR(SUMIF(Table4[SKU_Code], A32, Table4[Qty]), "Missing")</f>
        <v>74</v>
      </c>
      <c r="E32" s="57">
        <f t="shared" si="0"/>
        <v>0.6271186440677966</v>
      </c>
      <c r="F32">
        <f>IFERROR(_xlfn.XLOOKUP(A32, Table1[SKU_Code], Table1[Cost_IRR]), "Missing")</f>
        <v>175000</v>
      </c>
      <c r="G32">
        <f>IFERROR(_xlfn.XLOOKUP(A32,Table1[SKU_Code],Table1[RRP_IRR]),"Missing")</f>
        <v>395000</v>
      </c>
      <c r="H32" s="56">
        <f t="shared" si="1"/>
        <v>0.55696202531645567</v>
      </c>
      <c r="I32" s="13">
        <f>SUMIF(Table4[SKU_Code],'Financial Analysis'!A32,Table4[Revenue])</f>
        <v>28183250</v>
      </c>
      <c r="J32">
        <f t="shared" si="2"/>
        <v>3</v>
      </c>
      <c r="K32" s="52">
        <f t="shared" si="3"/>
        <v>0.14749981598893611</v>
      </c>
      <c r="L32" s="55" t="str">
        <f t="shared" si="4"/>
        <v>A</v>
      </c>
      <c r="M32" s="52">
        <f t="shared" si="5"/>
        <v>15233250</v>
      </c>
      <c r="N32">
        <f t="shared" si="6"/>
        <v>20650000</v>
      </c>
      <c r="O32">
        <f t="shared" si="7"/>
        <v>0.74</v>
      </c>
      <c r="P32" s="59" t="str">
        <f t="shared" si="8"/>
        <v>C</v>
      </c>
    </row>
    <row r="33" spans="1:16">
      <c r="A33" t="s">
        <v>82</v>
      </c>
      <c r="B33" t="s">
        <v>83</v>
      </c>
      <c r="C33">
        <f>IFERROR(_xlfn.XLOOKUP(A33,Table2[SKU_Code],Table2[Received_Qty]),"Missing")</f>
        <v>43</v>
      </c>
      <c r="D33">
        <f>IFERROR(SUMIF(Table4[SKU_Code], A33, Table4[Qty]), "Missing")</f>
        <v>55</v>
      </c>
      <c r="E33" s="57">
        <f t="shared" si="0"/>
        <v>1.2790697674418605</v>
      </c>
      <c r="F33">
        <f>IFERROR(_xlfn.XLOOKUP(A33, Table1[SKU_Code], Table1[Cost_IRR]), "Missing")</f>
        <v>175000</v>
      </c>
      <c r="G33">
        <f>IFERROR(_xlfn.XLOOKUP(A33,Table1[SKU_Code],Table1[RRP_IRR]),"Missing")</f>
        <v>395000</v>
      </c>
      <c r="H33" s="56">
        <f t="shared" si="1"/>
        <v>0.55696202531645567</v>
      </c>
      <c r="I33" s="13">
        <f>SUMIF(Table4[SKU_Code],'Financial Analysis'!A33,Table4[Revenue])</f>
        <v>20895500</v>
      </c>
      <c r="J33">
        <f t="shared" si="2"/>
        <v>8</v>
      </c>
      <c r="K33" s="52">
        <f t="shared" si="3"/>
        <v>0.34764827123079234</v>
      </c>
      <c r="L33" s="55" t="str">
        <f t="shared" si="4"/>
        <v>A</v>
      </c>
      <c r="M33" s="52">
        <f t="shared" si="5"/>
        <v>11270500</v>
      </c>
      <c r="N33">
        <f t="shared" si="6"/>
        <v>7525000</v>
      </c>
      <c r="O33">
        <f t="shared" si="7"/>
        <v>1.5</v>
      </c>
      <c r="P33" s="59" t="str">
        <f t="shared" si="8"/>
        <v>B</v>
      </c>
    </row>
    <row r="34" spans="1:16">
      <c r="A34" t="s">
        <v>18</v>
      </c>
      <c r="B34" t="s">
        <v>19</v>
      </c>
      <c r="C34">
        <f>IFERROR(_xlfn.XLOOKUP(A34,Table2[SKU_Code],Table2[Received_Qty]),"Missing")</f>
        <v>102</v>
      </c>
      <c r="D34">
        <f>IFERROR(SUMIF(Table4[SKU_Code], A34, Table4[Qty]), "Missing")</f>
        <v>47</v>
      </c>
      <c r="E34" s="57">
        <f t="shared" si="0"/>
        <v>0.46078431372549017</v>
      </c>
      <c r="F34">
        <f>IFERROR(_xlfn.XLOOKUP(A34, Table1[SKU_Code], Table1[Cost_IRR]), "Missing")</f>
        <v>130000</v>
      </c>
      <c r="G34">
        <f>IFERROR(_xlfn.XLOOKUP(A34,Table1[SKU_Code],Table1[RRP_IRR]),"Missing")</f>
        <v>265000</v>
      </c>
      <c r="H34" s="56">
        <f t="shared" si="1"/>
        <v>0.50943396226415094</v>
      </c>
      <c r="I34" s="13">
        <f>SUMIF(Table4[SKU_Code],'Financial Analysis'!A34,Table4[Revenue])</f>
        <v>12428500</v>
      </c>
      <c r="J34">
        <f t="shared" si="2"/>
        <v>23</v>
      </c>
      <c r="K34" s="52">
        <f t="shared" si="3"/>
        <v>0.72979840640523563</v>
      </c>
      <c r="L34" s="55" t="str">
        <f t="shared" si="4"/>
        <v>B</v>
      </c>
      <c r="M34" s="52">
        <f t="shared" si="5"/>
        <v>6318500</v>
      </c>
      <c r="N34">
        <f t="shared" si="6"/>
        <v>13260000</v>
      </c>
      <c r="O34">
        <f t="shared" si="7"/>
        <v>0.48</v>
      </c>
      <c r="P34" s="59" t="str">
        <f t="shared" si="8"/>
        <v>C</v>
      </c>
    </row>
    <row r="35" spans="1:16">
      <c r="A35" t="s">
        <v>122</v>
      </c>
      <c r="B35" t="s">
        <v>123</v>
      </c>
      <c r="C35">
        <f>IFERROR(_xlfn.XLOOKUP(A35,Table2[SKU_Code],Table2[Received_Qty]),"Missing")</f>
        <v>74</v>
      </c>
      <c r="D35">
        <f>IFERROR(SUMIF(Table4[SKU_Code], A35, Table4[Qty]), "Missing")</f>
        <v>50</v>
      </c>
      <c r="E35" s="57">
        <f t="shared" si="0"/>
        <v>0.67567567567567566</v>
      </c>
      <c r="F35">
        <f>IFERROR(_xlfn.XLOOKUP(A35, Table1[SKU_Code], Table1[Cost_IRR]), "Missing")</f>
        <v>100000</v>
      </c>
      <c r="G35">
        <f>IFERROR(_xlfn.XLOOKUP(A35,Table1[SKU_Code],Table1[RRP_IRR]),"Missing")</f>
        <v>228000</v>
      </c>
      <c r="H35" s="56">
        <f t="shared" si="1"/>
        <v>0.56140350877192979</v>
      </c>
      <c r="I35" s="13">
        <f>SUMIF(Table4[SKU_Code],'Financial Analysis'!A35,Table4[Revenue])</f>
        <v>11001000</v>
      </c>
      <c r="J35">
        <f t="shared" si="2"/>
        <v>28</v>
      </c>
      <c r="K35" s="52">
        <f t="shared" si="3"/>
        <v>0.82753186170520066</v>
      </c>
      <c r="L35" s="55" t="str">
        <f t="shared" si="4"/>
        <v>B</v>
      </c>
      <c r="M35" s="52">
        <f t="shared" si="5"/>
        <v>6001000</v>
      </c>
      <c r="N35">
        <f t="shared" si="6"/>
        <v>7400000</v>
      </c>
      <c r="O35">
        <f t="shared" si="7"/>
        <v>0.81</v>
      </c>
      <c r="P35" s="59" t="str">
        <f t="shared" si="8"/>
        <v>C</v>
      </c>
    </row>
    <row r="36" spans="1:16">
      <c r="A36" t="s">
        <v>55</v>
      </c>
      <c r="B36" t="s">
        <v>56</v>
      </c>
      <c r="C36">
        <f>IFERROR(_xlfn.XLOOKUP(A36,Table2[SKU_Code],Table2[Received_Qty]),"Missing")</f>
        <v>147</v>
      </c>
      <c r="D36">
        <f>IFERROR(SUMIF(Table4[SKU_Code], A36, Table4[Qty]), "Missing")</f>
        <v>64</v>
      </c>
      <c r="E36" s="57">
        <f t="shared" si="0"/>
        <v>0.43537414965986393</v>
      </c>
      <c r="F36">
        <f>IFERROR(_xlfn.XLOOKUP(A36, Table1[SKU_Code], Table1[Cost_IRR]), "Missing")</f>
        <v>45000</v>
      </c>
      <c r="G36">
        <f>IFERROR(_xlfn.XLOOKUP(A36,Table1[SKU_Code],Table1[RRP_IRR]),"Missing")</f>
        <v>105000</v>
      </c>
      <c r="H36" s="56">
        <f t="shared" si="1"/>
        <v>0.5714285714285714</v>
      </c>
      <c r="I36" s="13">
        <f>SUMIF(Table4[SKU_Code],'Financial Analysis'!A36,Table4[Revenue])</f>
        <v>6462750</v>
      </c>
      <c r="J36">
        <f t="shared" si="2"/>
        <v>39</v>
      </c>
      <c r="K36" s="52">
        <f t="shared" si="3"/>
        <v>0.99003434817049207</v>
      </c>
      <c r="L36" s="55" t="str">
        <f t="shared" si="4"/>
        <v>C</v>
      </c>
      <c r="M36" s="52">
        <f t="shared" si="5"/>
        <v>3582750</v>
      </c>
      <c r="N36">
        <f t="shared" si="6"/>
        <v>6615000</v>
      </c>
      <c r="O36">
        <f t="shared" si="7"/>
        <v>0.54</v>
      </c>
      <c r="P36" s="59" t="str">
        <f t="shared" si="8"/>
        <v>C</v>
      </c>
    </row>
    <row r="37" spans="1:16">
      <c r="A37" t="s">
        <v>108</v>
      </c>
      <c r="B37" t="s">
        <v>56</v>
      </c>
      <c r="C37">
        <f>IFERROR(_xlfn.XLOOKUP(A37,Table2[SKU_Code],Table2[Received_Qty]),"Missing")</f>
        <v>72</v>
      </c>
      <c r="D37">
        <f>IFERROR(SUMIF(Table4[SKU_Code], A37, Table4[Qty]), "Missing")</f>
        <v>58</v>
      </c>
      <c r="E37" s="57">
        <f t="shared" si="0"/>
        <v>0.80555555555555558</v>
      </c>
      <c r="F37">
        <f>IFERROR(_xlfn.XLOOKUP(A37, Table1[SKU_Code], Table1[Cost_IRR]), "Missing")</f>
        <v>45000</v>
      </c>
      <c r="G37">
        <f>IFERROR(_xlfn.XLOOKUP(A37,Table1[SKU_Code],Table1[RRP_IRR]),"Missing")</f>
        <v>105000</v>
      </c>
      <c r="H37" s="56">
        <f t="shared" si="1"/>
        <v>0.5714285714285714</v>
      </c>
      <c r="I37" s="13">
        <f>SUMIF(Table4[SKU_Code],'Financial Analysis'!A37,Table4[Revenue])</f>
        <v>5916750</v>
      </c>
      <c r="J37">
        <f t="shared" si="2"/>
        <v>40</v>
      </c>
      <c r="K37" s="52">
        <f t="shared" si="3"/>
        <v>1</v>
      </c>
      <c r="L37" s="55" t="str">
        <f t="shared" si="4"/>
        <v>C</v>
      </c>
      <c r="M37" s="52">
        <f t="shared" si="5"/>
        <v>3306750</v>
      </c>
      <c r="N37">
        <f t="shared" si="6"/>
        <v>3240000</v>
      </c>
      <c r="O37">
        <f t="shared" si="7"/>
        <v>1.02</v>
      </c>
      <c r="P37" s="59" t="str">
        <f t="shared" si="8"/>
        <v>B</v>
      </c>
    </row>
    <row r="38" spans="1:16">
      <c r="A38" t="s">
        <v>162</v>
      </c>
      <c r="B38" t="s">
        <v>56</v>
      </c>
      <c r="C38">
        <f>IFERROR(_xlfn.XLOOKUP(A38,Table2[SKU_Code],Table2[Received_Qty]),"Missing")</f>
        <v>126</v>
      </c>
      <c r="D38">
        <f>IFERROR(SUMIF(Table4[SKU_Code], A38, Table4[Qty]), "Missing")</f>
        <v>71</v>
      </c>
      <c r="E38" s="57">
        <f t="shared" si="0"/>
        <v>0.56349206349206349</v>
      </c>
      <c r="F38">
        <f>IFERROR(_xlfn.XLOOKUP(A38, Table1[SKU_Code], Table1[Cost_IRR]), "Missing")</f>
        <v>45000</v>
      </c>
      <c r="G38">
        <f>IFERROR(_xlfn.XLOOKUP(A38,Table1[SKU_Code],Table1[RRP_IRR]),"Missing")</f>
        <v>105000</v>
      </c>
      <c r="H38" s="56">
        <f t="shared" si="1"/>
        <v>0.5714285714285714</v>
      </c>
      <c r="I38" s="13">
        <f>SUMIF(Table4[SKU_Code],'Financial Analysis'!A38,Table4[Revenue])</f>
        <v>7281750</v>
      </c>
      <c r="J38">
        <f t="shared" si="2"/>
        <v>38</v>
      </c>
      <c r="K38" s="52">
        <f t="shared" si="3"/>
        <v>0.97914906209939701</v>
      </c>
      <c r="L38" s="55" t="str">
        <f t="shared" si="4"/>
        <v>C</v>
      </c>
      <c r="M38" s="52">
        <f t="shared" si="5"/>
        <v>4086750</v>
      </c>
      <c r="N38">
        <f t="shared" si="6"/>
        <v>5670000</v>
      </c>
      <c r="O38">
        <f t="shared" si="7"/>
        <v>0.72</v>
      </c>
      <c r="P38" s="59" t="str">
        <f t="shared" si="8"/>
        <v>C</v>
      </c>
    </row>
    <row r="39" spans="1:16">
      <c r="A39" t="s">
        <v>147</v>
      </c>
      <c r="B39" t="s">
        <v>148</v>
      </c>
      <c r="C39">
        <f>IFERROR(_xlfn.XLOOKUP(A39,Table2[SKU_Code],Table2[Received_Qty]),"Missing")</f>
        <v>32</v>
      </c>
      <c r="D39">
        <f>IFERROR(SUMIF(Table4[SKU_Code], A39, Table4[Qty]), "Missing")</f>
        <v>41</v>
      </c>
      <c r="E39" s="57">
        <f t="shared" si="0"/>
        <v>1.28125</v>
      </c>
      <c r="F39">
        <f>IFERROR(_xlfn.XLOOKUP(A39, Table1[SKU_Code], Table1[Cost_IRR]), "Missing")</f>
        <v>135000</v>
      </c>
      <c r="G39">
        <f>IFERROR(_xlfn.XLOOKUP(A39,Table1[SKU_Code],Table1[RRP_IRR]),"Missing")</f>
        <v>305000</v>
      </c>
      <c r="H39" s="56">
        <f t="shared" si="1"/>
        <v>0.55737704918032782</v>
      </c>
      <c r="I39" s="13">
        <f>SUMIF(Table4[SKU_Code],'Financial Analysis'!A39,Table4[Revenue])</f>
        <v>11971250</v>
      </c>
      <c r="J39">
        <f t="shared" si="2"/>
        <v>25</v>
      </c>
      <c r="K39" s="52">
        <f t="shared" si="3"/>
        <v>0.77020462535600032</v>
      </c>
      <c r="L39" s="55" t="str">
        <f t="shared" si="4"/>
        <v>B</v>
      </c>
      <c r="M39" s="52">
        <f t="shared" si="5"/>
        <v>6436250</v>
      </c>
      <c r="N39">
        <f t="shared" si="6"/>
        <v>4320000</v>
      </c>
      <c r="O39">
        <f t="shared" si="7"/>
        <v>1.49</v>
      </c>
      <c r="P39" s="59" t="str">
        <f t="shared" si="8"/>
        <v>B</v>
      </c>
    </row>
    <row r="40" spans="1:16">
      <c r="A40" t="s">
        <v>90</v>
      </c>
      <c r="B40" t="s">
        <v>91</v>
      </c>
      <c r="C40">
        <f>IFERROR(_xlfn.XLOOKUP(A40,Table2[SKU_Code],Table2[Received_Qty]),"Missing")</f>
        <v>103</v>
      </c>
      <c r="D40">
        <f>IFERROR(SUMIF(Table4[SKU_Code], A40, Table4[Qty]), "Missing")</f>
        <v>53</v>
      </c>
      <c r="E40" s="57">
        <f t="shared" si="0"/>
        <v>0.5145631067961165</v>
      </c>
      <c r="F40">
        <f>IFERROR(_xlfn.XLOOKUP(A40, Table1[SKU_Code], Table1[Cost_IRR]), "Missing")</f>
        <v>195000</v>
      </c>
      <c r="G40">
        <f>IFERROR(_xlfn.XLOOKUP(A40,Table1[SKU_Code],Table1[RRP_IRR]),"Missing")</f>
        <v>425000</v>
      </c>
      <c r="H40" s="56">
        <f t="shared" si="1"/>
        <v>0.54117647058823526</v>
      </c>
      <c r="I40" s="13">
        <f>SUMIF(Table4[SKU_Code],'Financial Analysis'!A40,Table4[Revenue])</f>
        <v>22057500</v>
      </c>
      <c r="J40">
        <f t="shared" si="2"/>
        <v>7</v>
      </c>
      <c r="K40" s="52">
        <f t="shared" si="3"/>
        <v>0.31245373406030474</v>
      </c>
      <c r="L40" s="55" t="str">
        <f t="shared" si="4"/>
        <v>A</v>
      </c>
      <c r="M40" s="52">
        <f t="shared" si="5"/>
        <v>11722500</v>
      </c>
      <c r="N40">
        <f t="shared" si="6"/>
        <v>20085000</v>
      </c>
      <c r="O40">
        <f t="shared" si="7"/>
        <v>0.57999999999999996</v>
      </c>
      <c r="P40" s="59" t="str">
        <f t="shared" si="8"/>
        <v>C</v>
      </c>
    </row>
    <row r="41" spans="1:16">
      <c r="A41" t="s">
        <v>23</v>
      </c>
      <c r="B41" t="s">
        <v>24</v>
      </c>
      <c r="C41">
        <f>IFERROR(_xlfn.XLOOKUP(A41,Table2[SKU_Code],Table2[Received_Qty]),"Missing")</f>
        <v>37</v>
      </c>
      <c r="D41">
        <f>IFERROR(SUMIF(Table4[SKU_Code], A41, Table4[Qty]), "Missing")</f>
        <v>47</v>
      </c>
      <c r="E41" s="57">
        <f t="shared" si="0"/>
        <v>1.2702702702702702</v>
      </c>
      <c r="F41">
        <f>IFERROR(_xlfn.XLOOKUP(A41, Table1[SKU_Code], Table1[Cost_IRR]), "Missing")</f>
        <v>80000</v>
      </c>
      <c r="G41">
        <f>IFERROR(_xlfn.XLOOKUP(A41,Table1[SKU_Code],Table1[RRP_IRR]),"Missing")</f>
        <v>182000</v>
      </c>
      <c r="H41" s="56">
        <f t="shared" si="1"/>
        <v>0.56043956043956045</v>
      </c>
      <c r="I41" s="13">
        <f>SUMIF(Table4[SKU_Code],'Financial Analysis'!A41,Table4[Revenue])</f>
        <v>8235500</v>
      </c>
      <c r="J41">
        <f t="shared" si="2"/>
        <v>37</v>
      </c>
      <c r="K41" s="52">
        <f t="shared" si="3"/>
        <v>0.966884324665921</v>
      </c>
      <c r="L41" s="55" t="str">
        <f t="shared" si="4"/>
        <v>C</v>
      </c>
      <c r="M41" s="52">
        <f t="shared" si="5"/>
        <v>4475500</v>
      </c>
      <c r="N41">
        <f t="shared" si="6"/>
        <v>2960000</v>
      </c>
      <c r="O41">
        <f t="shared" si="7"/>
        <v>1.51</v>
      </c>
      <c r="P41" s="59" t="str">
        <f t="shared" si="8"/>
        <v>B</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54CB-DAA7-441D-998D-33D5E67DF594}">
  <sheetPr filterMode="1"/>
  <dimension ref="A1:Q132"/>
  <sheetViews>
    <sheetView showGridLines="0" zoomScale="80" zoomScaleNormal="80" workbookViewId="0">
      <selection activeCell="C60" sqref="C60"/>
    </sheetView>
  </sheetViews>
  <sheetFormatPr defaultRowHeight="14.25"/>
  <cols>
    <col min="1" max="1" width="18.796875" customWidth="1"/>
    <col min="2" max="2" width="18.265625" customWidth="1"/>
    <col min="3" max="3" width="19.19921875" customWidth="1"/>
    <col min="4" max="5" width="17.73046875" customWidth="1"/>
    <col min="6" max="6" width="15.86328125" customWidth="1"/>
    <col min="7" max="7" width="11.59765625" customWidth="1"/>
    <col min="8" max="8" width="14.59765625" customWidth="1"/>
    <col min="9" max="9" width="14.3984375" customWidth="1"/>
    <col min="10" max="10" width="16.53125" customWidth="1"/>
    <col min="11" max="11" width="13.33203125" customWidth="1"/>
    <col min="12" max="12" width="20.3984375" customWidth="1"/>
    <col min="13" max="13" width="14" customWidth="1"/>
    <col min="14" max="14" width="18.6640625" customWidth="1"/>
    <col min="16" max="16" width="18.46484375" bestFit="1" customWidth="1"/>
    <col min="17" max="17" width="14.6640625" customWidth="1"/>
  </cols>
  <sheetData>
    <row r="1" spans="1:17">
      <c r="A1" t="s">
        <v>1530</v>
      </c>
    </row>
    <row r="2" spans="1:17">
      <c r="A2" t="s">
        <v>1531</v>
      </c>
    </row>
    <row r="4" spans="1:17">
      <c r="A4" t="s">
        <v>1532</v>
      </c>
    </row>
    <row r="5" spans="1:17">
      <c r="A5" t="s">
        <v>1533</v>
      </c>
      <c r="B5">
        <v>1.65</v>
      </c>
    </row>
    <row r="6" spans="1:17">
      <c r="A6" t="s">
        <v>1534</v>
      </c>
      <c r="B6">
        <v>14</v>
      </c>
    </row>
    <row r="7" spans="1:17">
      <c r="A7" t="s">
        <v>1535</v>
      </c>
      <c r="B7" s="60">
        <v>0.25</v>
      </c>
      <c r="C7" s="60">
        <v>0.5</v>
      </c>
      <c r="D7" s="60">
        <v>0.75</v>
      </c>
      <c r="F7" s="60"/>
      <c r="G7" s="60"/>
      <c r="H7" s="60"/>
      <c r="I7" s="60"/>
    </row>
    <row r="8" spans="1:17">
      <c r="F8" s="61" t="s">
        <v>1550</v>
      </c>
      <c r="G8" s="62"/>
      <c r="H8" s="62"/>
      <c r="I8" s="62"/>
      <c r="J8" s="64" t="s">
        <v>1551</v>
      </c>
      <c r="K8" s="65"/>
      <c r="L8" s="65"/>
      <c r="M8" s="65"/>
      <c r="N8" s="67" t="s">
        <v>1552</v>
      </c>
      <c r="O8" s="68"/>
      <c r="P8" s="68"/>
      <c r="Q8" s="68"/>
    </row>
    <row r="9" spans="1:17">
      <c r="A9" t="s">
        <v>1269</v>
      </c>
      <c r="B9" t="s">
        <v>1472</v>
      </c>
      <c r="C9" t="s">
        <v>1537</v>
      </c>
      <c r="D9" t="s">
        <v>1536</v>
      </c>
      <c r="E9" t="s">
        <v>1307</v>
      </c>
      <c r="F9" s="63" t="s">
        <v>1538</v>
      </c>
      <c r="G9" s="63" t="s">
        <v>1539</v>
      </c>
      <c r="H9" s="63" t="s">
        <v>1541</v>
      </c>
      <c r="I9" s="63" t="s">
        <v>1540</v>
      </c>
      <c r="J9" s="66" t="s">
        <v>1542</v>
      </c>
      <c r="K9" s="66" t="s">
        <v>1543</v>
      </c>
      <c r="L9" s="66" t="s">
        <v>1544</v>
      </c>
      <c r="M9" s="66" t="s">
        <v>1545</v>
      </c>
      <c r="N9" s="69" t="s">
        <v>1546</v>
      </c>
      <c r="O9" s="69" t="s">
        <v>1547</v>
      </c>
      <c r="P9" s="69" t="s">
        <v>1548</v>
      </c>
      <c r="Q9" s="69" t="s">
        <v>1549</v>
      </c>
    </row>
    <row r="10" spans="1:17">
      <c r="A10" t="str">
        <f>'Inventory Analysis'!A2</f>
        <v>PRD-001</v>
      </c>
      <c r="B10">
        <f>'Inventory Analysis'!F2</f>
        <v>0.12</v>
      </c>
      <c r="C10" s="3">
        <f>'Inventory Analysis'!E2</f>
        <v>2.4896479886598462</v>
      </c>
      <c r="D10" s="3">
        <f>ROUND($B$5*C10*SQRT($B$6/30),0)</f>
        <v>3</v>
      </c>
      <c r="E10" s="3">
        <f>'Inventory Analysis'!J2</f>
        <v>3</v>
      </c>
      <c r="F10" s="63">
        <f>ROUND($B$5*(C10*(1+B$7))*SQRT($B$6/30),0)</f>
        <v>4</v>
      </c>
      <c r="G10" s="63">
        <f>ROUND((B10*(1+$B$7))*$B$6+F10,0)</f>
        <v>6</v>
      </c>
      <c r="H10" s="63">
        <f>IF(E10="Missing",0,ROUND(E10/(B10*(1+$B$7)),0))</f>
        <v>20</v>
      </c>
      <c r="I10" s="63" t="str">
        <f>IF(E10="Missing","Missing",IF(E10&lt;G10,"Danger",IF(E10&lt;G10*1.2,"Watch","Stable")))</f>
        <v>Danger</v>
      </c>
      <c r="J10" s="66">
        <f>ROUND($B$5*(C10*(1+C$7))*SQRT($B$6/30),0)</f>
        <v>4</v>
      </c>
      <c r="K10" s="66">
        <f>ROUND((B10*(1+$C$7))*$B$6+J10,0)</f>
        <v>7</v>
      </c>
      <c r="L10" s="66">
        <f>IF(E10="Missing",0,ROUND(E10/(B10*(1+C$7)),0))</f>
        <v>17</v>
      </c>
      <c r="M10" s="66" t="str">
        <f>IF(E10="Missing","Missing",IF(E10&lt;K10,"Danger",IF(E10&lt;K10*1.2,"Watch","Stable")))</f>
        <v>Danger</v>
      </c>
      <c r="N10" s="69">
        <f>ROUND($B$5*(C10*(1+$D$7))*SQRT($B$6/30),0)</f>
        <v>5</v>
      </c>
      <c r="O10" s="69">
        <f>ROUND((B10*(1+D$7))*$B$6+N10,0)</f>
        <v>8</v>
      </c>
      <c r="P10" s="69">
        <f>IF(E10="Missing",0,ROUND(E10/(B10*(1+D$7)),0))</f>
        <v>14</v>
      </c>
      <c r="Q10" s="69" t="str">
        <f>IF(E10="Missing","Missing",IF(E10&lt;O10,"Danger",IF(E10&lt;O10*1.2,"Watch","Stable")))</f>
        <v>Danger</v>
      </c>
    </row>
    <row r="11" spans="1:17" hidden="1">
      <c r="A11" t="str">
        <f>'Inventory Analysis'!A3</f>
        <v>PRD-002</v>
      </c>
      <c r="B11">
        <f>'Inventory Analysis'!F3</f>
        <v>0.19</v>
      </c>
      <c r="C11" s="3">
        <f>'Inventory Analysis'!E3</f>
        <v>4.1857894516247862</v>
      </c>
      <c r="D11" s="3">
        <f t="shared" ref="D11:D49" si="0">ROUND($B$5*C11*SQRT($B$6/30),0)</f>
        <v>5</v>
      </c>
      <c r="E11" s="3">
        <f>'Inventory Analysis'!J3</f>
        <v>23</v>
      </c>
      <c r="F11" s="63">
        <f t="shared" ref="F11:F49" si="1">ROUND($B$5*(C11*(1+B$7))*SQRT($B$6/30),0)</f>
        <v>6</v>
      </c>
      <c r="G11" s="63">
        <f t="shared" ref="G11:G49" si="2">ROUND((B11*(1+$B$7))*$B$6+F11,0)</f>
        <v>9</v>
      </c>
      <c r="H11" s="63">
        <f t="shared" ref="H11:H49" si="3">IF(E11="Missing",0,ROUND(E11/(B11*(1+$B$7)),0))</f>
        <v>97</v>
      </c>
      <c r="I11" s="63" t="str">
        <f t="shared" ref="I11:I49" si="4">IF(E11="Missing","Missing",IF(E11&lt;G11,"Danger",IF(E11&lt;G11*1.2,"Watch","Stable")))</f>
        <v>Stable</v>
      </c>
      <c r="J11" s="66">
        <f t="shared" ref="J11:J49" si="5">ROUND($B$5*(C11*(1+C$7))*SQRT($B$6/30),0)</f>
        <v>7</v>
      </c>
      <c r="K11" s="66">
        <f t="shared" ref="K11:K49" si="6">ROUND((B11*(1+$C$7))*$B$6+J11,0)</f>
        <v>11</v>
      </c>
      <c r="L11" s="66">
        <f t="shared" ref="L11:L49" si="7">IF(E11="Missing",0,ROUND(E11/(B11*(1+C$7)),0))</f>
        <v>81</v>
      </c>
      <c r="M11" s="66" t="str">
        <f t="shared" ref="M11:M49" si="8">IF(E11="Missing","Missing",IF(E11&lt;K11,"Danger",IF(E11&lt;K11*1.2,"Watch","Stable")))</f>
        <v>Stable</v>
      </c>
      <c r="N11" s="69">
        <f t="shared" ref="N11:N12" si="9">ROUND($B$5*(C11*(1+$D$7))*SQRT($B$6/30),0)</f>
        <v>8</v>
      </c>
      <c r="O11" s="69">
        <f t="shared" ref="O11:O49" si="10">ROUND((B11*(1+D$7))*$B$6+N11,0)</f>
        <v>13</v>
      </c>
      <c r="P11" s="69">
        <f t="shared" ref="P11:P49" si="11">IF(E11="Missing",0,ROUND(E11/(B11*(1+D$7)),0))</f>
        <v>69</v>
      </c>
      <c r="Q11" s="69" t="str">
        <f t="shared" ref="Q11:Q49" si="12">IF(E11="Missing","Missing",IF(E11&lt;O11,"Danger",IF(E11&lt;O11*1.2,"Watch","Stable")))</f>
        <v>Stable</v>
      </c>
    </row>
    <row r="12" spans="1:17">
      <c r="A12" t="str">
        <f>'Inventory Analysis'!A4</f>
        <v>PRD-003</v>
      </c>
      <c r="B12">
        <f>'Inventory Analysis'!F4</f>
        <v>0.19</v>
      </c>
      <c r="C12" s="3">
        <f>'Inventory Analysis'!E4</f>
        <v>3.7239452996843716</v>
      </c>
      <c r="D12" s="3">
        <f t="shared" si="0"/>
        <v>4</v>
      </c>
      <c r="E12" s="3">
        <f>'Inventory Analysis'!J4</f>
        <v>4</v>
      </c>
      <c r="F12" s="63">
        <f>ROUND($B$5*(C12*(1+B$7))*SQRT($B$6/30),0)</f>
        <v>5</v>
      </c>
      <c r="G12" s="63">
        <f t="shared" si="2"/>
        <v>8</v>
      </c>
      <c r="H12" s="63">
        <f t="shared" si="3"/>
        <v>17</v>
      </c>
      <c r="I12" s="63" t="str">
        <f t="shared" si="4"/>
        <v>Danger</v>
      </c>
      <c r="J12" s="66">
        <f t="shared" si="5"/>
        <v>6</v>
      </c>
      <c r="K12" s="66">
        <f t="shared" si="6"/>
        <v>10</v>
      </c>
      <c r="L12" s="66">
        <f t="shared" si="7"/>
        <v>14</v>
      </c>
      <c r="M12" s="66" t="str">
        <f t="shared" si="8"/>
        <v>Danger</v>
      </c>
      <c r="N12" s="69">
        <f t="shared" si="9"/>
        <v>7</v>
      </c>
      <c r="O12" s="69">
        <f t="shared" si="10"/>
        <v>12</v>
      </c>
      <c r="P12" s="69">
        <f t="shared" si="11"/>
        <v>12</v>
      </c>
      <c r="Q12" s="69" t="str">
        <f t="shared" si="12"/>
        <v>Danger</v>
      </c>
    </row>
    <row r="13" spans="1:17" hidden="1">
      <c r="A13" t="str">
        <f>'Inventory Analysis'!A5</f>
        <v>PRD-004</v>
      </c>
      <c r="B13">
        <f>'Inventory Analysis'!F5</f>
        <v>0.19</v>
      </c>
      <c r="C13" s="3">
        <f>'Inventory Analysis'!E5</f>
        <v>3.221826390303518</v>
      </c>
      <c r="D13" s="3">
        <f t="shared" si="0"/>
        <v>4</v>
      </c>
      <c r="E13" s="3">
        <f>'Inventory Analysis'!J5</f>
        <v>13</v>
      </c>
      <c r="F13" s="63">
        <f t="shared" si="1"/>
        <v>5</v>
      </c>
      <c r="G13" s="63">
        <f t="shared" si="2"/>
        <v>8</v>
      </c>
      <c r="H13" s="63">
        <f t="shared" si="3"/>
        <v>55</v>
      </c>
      <c r="I13" s="63" t="str">
        <f t="shared" si="4"/>
        <v>Stable</v>
      </c>
      <c r="J13" s="66">
        <f t="shared" si="5"/>
        <v>5</v>
      </c>
      <c r="K13" s="66">
        <f t="shared" si="6"/>
        <v>9</v>
      </c>
      <c r="L13" s="66">
        <f t="shared" si="7"/>
        <v>46</v>
      </c>
      <c r="M13" s="66" t="str">
        <f t="shared" si="8"/>
        <v>Stable</v>
      </c>
      <c r="N13" s="69">
        <f t="shared" ref="N11:N49" si="13">ROUND($B$5*(C13*(1+D$7))*SQRT($B$6/30),0)</f>
        <v>6</v>
      </c>
      <c r="O13" s="69">
        <f t="shared" si="10"/>
        <v>11</v>
      </c>
      <c r="P13" s="69">
        <f t="shared" si="11"/>
        <v>39</v>
      </c>
      <c r="Q13" s="69" t="str">
        <f t="shared" si="12"/>
        <v>Watch</v>
      </c>
    </row>
    <row r="14" spans="1:17" hidden="1">
      <c r="A14" t="str">
        <f>'Inventory Analysis'!A6</f>
        <v>PRD-005</v>
      </c>
      <c r="B14">
        <f>'Inventory Analysis'!F6</f>
        <v>0.23</v>
      </c>
      <c r="C14" s="3">
        <f>'Inventory Analysis'!E6</f>
        <v>4.1665333311999317</v>
      </c>
      <c r="D14" s="3">
        <f t="shared" si="0"/>
        <v>5</v>
      </c>
      <c r="E14" s="3">
        <f>'Inventory Analysis'!J6</f>
        <v>22</v>
      </c>
      <c r="F14" s="63">
        <f>ROUND($B$5*(C14*(1+B$7))*SQRT($B$6/30),0)</f>
        <v>6</v>
      </c>
      <c r="G14" s="63">
        <f t="shared" si="2"/>
        <v>10</v>
      </c>
      <c r="H14" s="63">
        <f t="shared" si="3"/>
        <v>77</v>
      </c>
      <c r="I14" s="63" t="str">
        <f t="shared" si="4"/>
        <v>Stable</v>
      </c>
      <c r="J14" s="66">
        <f t="shared" si="5"/>
        <v>7</v>
      </c>
      <c r="K14" s="66">
        <f t="shared" si="6"/>
        <v>12</v>
      </c>
      <c r="L14" s="66">
        <f t="shared" si="7"/>
        <v>64</v>
      </c>
      <c r="M14" s="66" t="str">
        <f t="shared" si="8"/>
        <v>Stable</v>
      </c>
      <c r="N14" s="69">
        <f t="shared" si="13"/>
        <v>8</v>
      </c>
      <c r="O14" s="69">
        <f t="shared" si="10"/>
        <v>14</v>
      </c>
      <c r="P14" s="69">
        <f t="shared" si="11"/>
        <v>55</v>
      </c>
      <c r="Q14" s="69" t="str">
        <f t="shared" si="12"/>
        <v>Stable</v>
      </c>
    </row>
    <row r="15" spans="1:17" hidden="1">
      <c r="A15" t="str">
        <f>'Inventory Analysis'!A7</f>
        <v>PRD-006</v>
      </c>
      <c r="B15">
        <f>'Inventory Analysis'!F7</f>
        <v>0.16</v>
      </c>
      <c r="C15" s="3">
        <f>'Inventory Analysis'!E7</f>
        <v>3.861310946067698</v>
      </c>
      <c r="D15" s="3">
        <f t="shared" si="0"/>
        <v>4</v>
      </c>
      <c r="E15" s="3">
        <f>'Inventory Analysis'!J7</f>
        <v>40</v>
      </c>
      <c r="F15" s="63">
        <f t="shared" si="1"/>
        <v>5</v>
      </c>
      <c r="G15" s="63">
        <f t="shared" si="2"/>
        <v>8</v>
      </c>
      <c r="H15" s="63">
        <f t="shared" si="3"/>
        <v>200</v>
      </c>
      <c r="I15" s="63" t="str">
        <f t="shared" si="4"/>
        <v>Stable</v>
      </c>
      <c r="J15" s="66">
        <f t="shared" si="5"/>
        <v>7</v>
      </c>
      <c r="K15" s="66">
        <f t="shared" si="6"/>
        <v>10</v>
      </c>
      <c r="L15" s="66">
        <f t="shared" si="7"/>
        <v>167</v>
      </c>
      <c r="M15" s="66" t="str">
        <f t="shared" si="8"/>
        <v>Stable</v>
      </c>
      <c r="N15" s="69">
        <f t="shared" si="13"/>
        <v>8</v>
      </c>
      <c r="O15" s="69">
        <f t="shared" si="10"/>
        <v>12</v>
      </c>
      <c r="P15" s="69">
        <f t="shared" si="11"/>
        <v>143</v>
      </c>
      <c r="Q15" s="69" t="str">
        <f t="shared" si="12"/>
        <v>Stable</v>
      </c>
    </row>
    <row r="16" spans="1:17" hidden="1">
      <c r="A16" t="str">
        <f>'Inventory Analysis'!A8</f>
        <v>PRD-007</v>
      </c>
      <c r="B16">
        <f>'Inventory Analysis'!F8</f>
        <v>0.18</v>
      </c>
      <c r="C16" s="3">
        <f>'Inventory Analysis'!E8</f>
        <v>3.1069104528427385</v>
      </c>
      <c r="D16" s="3">
        <f t="shared" si="0"/>
        <v>4</v>
      </c>
      <c r="E16" s="3">
        <f>'Inventory Analysis'!J8</f>
        <v>9</v>
      </c>
      <c r="F16" s="63">
        <f t="shared" si="1"/>
        <v>4</v>
      </c>
      <c r="G16" s="63">
        <f t="shared" si="2"/>
        <v>7</v>
      </c>
      <c r="H16" s="63">
        <f t="shared" si="3"/>
        <v>40</v>
      </c>
      <c r="I16" s="63" t="str">
        <f t="shared" si="4"/>
        <v>Stable</v>
      </c>
      <c r="J16" s="66">
        <f t="shared" si="5"/>
        <v>5</v>
      </c>
      <c r="K16" s="66">
        <f t="shared" si="6"/>
        <v>9</v>
      </c>
      <c r="L16" s="66">
        <f t="shared" si="7"/>
        <v>33</v>
      </c>
      <c r="M16" s="66" t="str">
        <f t="shared" si="8"/>
        <v>Watch</v>
      </c>
      <c r="N16" s="69">
        <f t="shared" si="13"/>
        <v>6</v>
      </c>
      <c r="O16" s="69">
        <f t="shared" si="10"/>
        <v>10</v>
      </c>
      <c r="P16" s="69">
        <f t="shared" si="11"/>
        <v>29</v>
      </c>
      <c r="Q16" s="69" t="str">
        <f t="shared" si="12"/>
        <v>Danger</v>
      </c>
    </row>
    <row r="17" spans="1:17" hidden="1">
      <c r="A17" t="str">
        <f>'Inventory Analysis'!A9</f>
        <v>PRD-008</v>
      </c>
      <c r="B17">
        <f>'Inventory Analysis'!F9</f>
        <v>0.22</v>
      </c>
      <c r="C17" s="3">
        <f>'Inventory Analysis'!E9</f>
        <v>4.8820805753082013</v>
      </c>
      <c r="D17" s="3">
        <f t="shared" si="0"/>
        <v>6</v>
      </c>
      <c r="E17" s="3" t="str">
        <f>'Inventory Analysis'!J9</f>
        <v>Missing</v>
      </c>
      <c r="F17" s="63">
        <f t="shared" si="1"/>
        <v>7</v>
      </c>
      <c r="G17" s="63">
        <f t="shared" si="2"/>
        <v>11</v>
      </c>
      <c r="H17" s="63">
        <f t="shared" si="3"/>
        <v>0</v>
      </c>
      <c r="I17" s="63" t="str">
        <f t="shared" si="4"/>
        <v>Missing</v>
      </c>
      <c r="J17" s="66">
        <f t="shared" si="5"/>
        <v>8</v>
      </c>
      <c r="K17" s="66">
        <f t="shared" si="6"/>
        <v>13</v>
      </c>
      <c r="L17" s="66">
        <f t="shared" si="7"/>
        <v>0</v>
      </c>
      <c r="M17" s="66" t="str">
        <f t="shared" si="8"/>
        <v>Missing</v>
      </c>
      <c r="N17" s="69">
        <f t="shared" si="13"/>
        <v>10</v>
      </c>
      <c r="O17" s="69">
        <f t="shared" si="10"/>
        <v>15</v>
      </c>
      <c r="P17" s="69">
        <f t="shared" si="11"/>
        <v>0</v>
      </c>
      <c r="Q17" s="69" t="str">
        <f t="shared" si="12"/>
        <v>Missing</v>
      </c>
    </row>
    <row r="18" spans="1:17">
      <c r="A18" t="str">
        <f>'Inventory Analysis'!A10</f>
        <v>PRD-009</v>
      </c>
      <c r="B18">
        <f>'Inventory Analysis'!F10</f>
        <v>0.22</v>
      </c>
      <c r="C18" s="3">
        <f>'Inventory Analysis'!E10</f>
        <v>3.4208886767685054</v>
      </c>
      <c r="D18" s="3">
        <f t="shared" si="0"/>
        <v>4</v>
      </c>
      <c r="E18" s="3">
        <f>'Inventory Analysis'!J10</f>
        <v>2</v>
      </c>
      <c r="F18" s="63">
        <f t="shared" si="1"/>
        <v>5</v>
      </c>
      <c r="G18" s="63">
        <f t="shared" si="2"/>
        <v>9</v>
      </c>
      <c r="H18" s="63">
        <f t="shared" si="3"/>
        <v>7</v>
      </c>
      <c r="I18" s="63" t="str">
        <f t="shared" si="4"/>
        <v>Danger</v>
      </c>
      <c r="J18" s="66">
        <f t="shared" si="5"/>
        <v>6</v>
      </c>
      <c r="K18" s="66">
        <f t="shared" si="6"/>
        <v>11</v>
      </c>
      <c r="L18" s="66">
        <f t="shared" si="7"/>
        <v>6</v>
      </c>
      <c r="M18" s="66" t="str">
        <f t="shared" si="8"/>
        <v>Danger</v>
      </c>
      <c r="N18" s="69">
        <f t="shared" si="13"/>
        <v>7</v>
      </c>
      <c r="O18" s="69">
        <f t="shared" si="10"/>
        <v>12</v>
      </c>
      <c r="P18" s="69">
        <f t="shared" si="11"/>
        <v>5</v>
      </c>
      <c r="Q18" s="69" t="str">
        <f t="shared" si="12"/>
        <v>Danger</v>
      </c>
    </row>
    <row r="19" spans="1:17" hidden="1">
      <c r="A19" t="str">
        <f>'Inventory Analysis'!A11</f>
        <v>PRD-010</v>
      </c>
      <c r="B19">
        <f>'Inventory Analysis'!F11</f>
        <v>0.12</v>
      </c>
      <c r="C19" s="3">
        <f>'Inventory Analysis'!E11</f>
        <v>2.3845230997461822</v>
      </c>
      <c r="D19" s="3">
        <f t="shared" si="0"/>
        <v>3</v>
      </c>
      <c r="E19" s="3">
        <f>'Inventory Analysis'!J11</f>
        <v>10</v>
      </c>
      <c r="F19" s="63">
        <f t="shared" si="1"/>
        <v>3</v>
      </c>
      <c r="G19" s="63">
        <f t="shared" si="2"/>
        <v>5</v>
      </c>
      <c r="H19" s="63">
        <f t="shared" si="3"/>
        <v>67</v>
      </c>
      <c r="I19" s="63" t="str">
        <f t="shared" si="4"/>
        <v>Stable</v>
      </c>
      <c r="J19" s="66">
        <f t="shared" si="5"/>
        <v>4</v>
      </c>
      <c r="K19" s="66">
        <f t="shared" si="6"/>
        <v>7</v>
      </c>
      <c r="L19" s="66">
        <f t="shared" si="7"/>
        <v>56</v>
      </c>
      <c r="M19" s="66" t="str">
        <f t="shared" si="8"/>
        <v>Stable</v>
      </c>
      <c r="N19" s="69">
        <f t="shared" si="13"/>
        <v>5</v>
      </c>
      <c r="O19" s="69">
        <f t="shared" si="10"/>
        <v>8</v>
      </c>
      <c r="P19" s="69">
        <f t="shared" si="11"/>
        <v>48</v>
      </c>
      <c r="Q19" s="69" t="str">
        <f t="shared" si="12"/>
        <v>Stable</v>
      </c>
    </row>
    <row r="20" spans="1:17" hidden="1">
      <c r="A20" t="str">
        <f>'Inventory Analysis'!A12</f>
        <v>PRD-011</v>
      </c>
      <c r="B20">
        <f>'Inventory Analysis'!F12</f>
        <v>0.13</v>
      </c>
      <c r="C20" s="3">
        <f>'Inventory Analysis'!E12</f>
        <v>3.4292856398964493</v>
      </c>
      <c r="D20" s="3">
        <f t="shared" si="0"/>
        <v>4</v>
      </c>
      <c r="E20" s="3">
        <f>'Inventory Analysis'!J12</f>
        <v>35</v>
      </c>
      <c r="F20" s="63">
        <f t="shared" si="1"/>
        <v>5</v>
      </c>
      <c r="G20" s="63">
        <f t="shared" si="2"/>
        <v>7</v>
      </c>
      <c r="H20" s="63">
        <f t="shared" si="3"/>
        <v>215</v>
      </c>
      <c r="I20" s="63" t="str">
        <f t="shared" si="4"/>
        <v>Stable</v>
      </c>
      <c r="J20" s="66">
        <f t="shared" si="5"/>
        <v>6</v>
      </c>
      <c r="K20" s="66">
        <f t="shared" si="6"/>
        <v>9</v>
      </c>
      <c r="L20" s="66">
        <f t="shared" si="7"/>
        <v>179</v>
      </c>
      <c r="M20" s="66" t="str">
        <f t="shared" si="8"/>
        <v>Stable</v>
      </c>
      <c r="N20" s="69">
        <f t="shared" si="13"/>
        <v>7</v>
      </c>
      <c r="O20" s="69">
        <f t="shared" si="10"/>
        <v>10</v>
      </c>
      <c r="P20" s="69">
        <f t="shared" si="11"/>
        <v>154</v>
      </c>
      <c r="Q20" s="69" t="str">
        <f t="shared" si="12"/>
        <v>Stable</v>
      </c>
    </row>
    <row r="21" spans="1:17" hidden="1">
      <c r="A21" t="str">
        <f>'Inventory Analysis'!A13</f>
        <v>PRD-012</v>
      </c>
      <c r="B21">
        <f>'Inventory Analysis'!F13</f>
        <v>0.14000000000000001</v>
      </c>
      <c r="C21" s="3">
        <f>'Inventory Analysis'!E13</f>
        <v>3.4583232931581165</v>
      </c>
      <c r="D21" s="3">
        <f t="shared" si="0"/>
        <v>4</v>
      </c>
      <c r="E21" s="3">
        <f>'Inventory Analysis'!J13</f>
        <v>16</v>
      </c>
      <c r="F21" s="63">
        <f t="shared" si="1"/>
        <v>5</v>
      </c>
      <c r="G21" s="63">
        <f t="shared" si="2"/>
        <v>7</v>
      </c>
      <c r="H21" s="63">
        <f t="shared" si="3"/>
        <v>91</v>
      </c>
      <c r="I21" s="63" t="str">
        <f t="shared" si="4"/>
        <v>Stable</v>
      </c>
      <c r="J21" s="66">
        <f t="shared" si="5"/>
        <v>6</v>
      </c>
      <c r="K21" s="66">
        <f t="shared" si="6"/>
        <v>9</v>
      </c>
      <c r="L21" s="66">
        <f t="shared" si="7"/>
        <v>76</v>
      </c>
      <c r="M21" s="66" t="str">
        <f t="shared" si="8"/>
        <v>Stable</v>
      </c>
      <c r="N21" s="69">
        <f t="shared" si="13"/>
        <v>7</v>
      </c>
      <c r="O21" s="69">
        <f t="shared" si="10"/>
        <v>10</v>
      </c>
      <c r="P21" s="69">
        <f t="shared" si="11"/>
        <v>65</v>
      </c>
      <c r="Q21" s="69" t="str">
        <f t="shared" si="12"/>
        <v>Stable</v>
      </c>
    </row>
    <row r="22" spans="1:17" hidden="1">
      <c r="A22" t="str">
        <f>'Inventory Analysis'!A14</f>
        <v>PRD-013</v>
      </c>
      <c r="B22">
        <f>'Inventory Analysis'!F14</f>
        <v>0.17</v>
      </c>
      <c r="C22" s="3">
        <f>'Inventory Analysis'!E14</f>
        <v>3.0675270532176602</v>
      </c>
      <c r="D22" s="3">
        <f t="shared" si="0"/>
        <v>3</v>
      </c>
      <c r="E22" s="3">
        <f>'Inventory Analysis'!J14</f>
        <v>10</v>
      </c>
      <c r="F22" s="63">
        <f t="shared" si="1"/>
        <v>4</v>
      </c>
      <c r="G22" s="63">
        <f t="shared" si="2"/>
        <v>7</v>
      </c>
      <c r="H22" s="63">
        <f t="shared" si="3"/>
        <v>47</v>
      </c>
      <c r="I22" s="63" t="str">
        <f t="shared" si="4"/>
        <v>Stable</v>
      </c>
      <c r="J22" s="66">
        <f t="shared" si="5"/>
        <v>5</v>
      </c>
      <c r="K22" s="66">
        <f t="shared" si="6"/>
        <v>9</v>
      </c>
      <c r="L22" s="66">
        <f t="shared" si="7"/>
        <v>39</v>
      </c>
      <c r="M22" s="66" t="str">
        <f t="shared" si="8"/>
        <v>Watch</v>
      </c>
      <c r="N22" s="69">
        <f t="shared" si="13"/>
        <v>6</v>
      </c>
      <c r="O22" s="69">
        <f t="shared" si="10"/>
        <v>10</v>
      </c>
      <c r="P22" s="69">
        <f t="shared" si="11"/>
        <v>34</v>
      </c>
      <c r="Q22" s="69" t="str">
        <f t="shared" si="12"/>
        <v>Watch</v>
      </c>
    </row>
    <row r="23" spans="1:17" hidden="1">
      <c r="A23" t="str">
        <f>'Inventory Analysis'!A15</f>
        <v>PRD-014</v>
      </c>
      <c r="B23">
        <f>'Inventory Analysis'!F15</f>
        <v>0.18</v>
      </c>
      <c r="C23" s="3">
        <f>'Inventory Analysis'!E15</f>
        <v>4.0062451248020263</v>
      </c>
      <c r="D23" s="3">
        <f t="shared" si="0"/>
        <v>5</v>
      </c>
      <c r="E23" s="3">
        <f>'Inventory Analysis'!J15</f>
        <v>40</v>
      </c>
      <c r="F23" s="63">
        <f t="shared" si="1"/>
        <v>6</v>
      </c>
      <c r="G23" s="63">
        <f t="shared" si="2"/>
        <v>9</v>
      </c>
      <c r="H23" s="63">
        <f t="shared" si="3"/>
        <v>178</v>
      </c>
      <c r="I23" s="63" t="str">
        <f t="shared" si="4"/>
        <v>Stable</v>
      </c>
      <c r="J23" s="66">
        <f t="shared" si="5"/>
        <v>7</v>
      </c>
      <c r="K23" s="66">
        <f t="shared" si="6"/>
        <v>11</v>
      </c>
      <c r="L23" s="66">
        <f t="shared" si="7"/>
        <v>148</v>
      </c>
      <c r="M23" s="66" t="str">
        <f t="shared" si="8"/>
        <v>Stable</v>
      </c>
      <c r="N23" s="69">
        <f t="shared" si="13"/>
        <v>8</v>
      </c>
      <c r="O23" s="69">
        <f t="shared" si="10"/>
        <v>12</v>
      </c>
      <c r="P23" s="69">
        <f t="shared" si="11"/>
        <v>127</v>
      </c>
      <c r="Q23" s="69" t="str">
        <f t="shared" si="12"/>
        <v>Stable</v>
      </c>
    </row>
    <row r="24" spans="1:17">
      <c r="A24" t="str">
        <f>'Inventory Analysis'!A16</f>
        <v>PRD-015</v>
      </c>
      <c r="B24">
        <f>'Inventory Analysis'!F16</f>
        <v>0.14000000000000001</v>
      </c>
      <c r="C24" s="3">
        <f>'Inventory Analysis'!E16</f>
        <v>2.9681644159311662</v>
      </c>
      <c r="D24" s="3">
        <f t="shared" si="0"/>
        <v>3</v>
      </c>
      <c r="E24" s="3">
        <f>'Inventory Analysis'!J16</f>
        <v>3</v>
      </c>
      <c r="F24" s="63">
        <f t="shared" si="1"/>
        <v>4</v>
      </c>
      <c r="G24" s="63">
        <f t="shared" si="2"/>
        <v>6</v>
      </c>
      <c r="H24" s="63">
        <f t="shared" si="3"/>
        <v>17</v>
      </c>
      <c r="I24" s="63" t="str">
        <f t="shared" si="4"/>
        <v>Danger</v>
      </c>
      <c r="J24" s="66">
        <f t="shared" si="5"/>
        <v>5</v>
      </c>
      <c r="K24" s="66">
        <f t="shared" si="6"/>
        <v>8</v>
      </c>
      <c r="L24" s="66">
        <f t="shared" si="7"/>
        <v>14</v>
      </c>
      <c r="M24" s="66" t="str">
        <f t="shared" si="8"/>
        <v>Danger</v>
      </c>
      <c r="N24" s="69">
        <f t="shared" si="13"/>
        <v>6</v>
      </c>
      <c r="O24" s="69">
        <f t="shared" si="10"/>
        <v>9</v>
      </c>
      <c r="P24" s="69">
        <f t="shared" si="11"/>
        <v>12</v>
      </c>
      <c r="Q24" s="69" t="str">
        <f t="shared" si="12"/>
        <v>Danger</v>
      </c>
    </row>
    <row r="25" spans="1:17" hidden="1">
      <c r="A25" t="str">
        <f>'Inventory Analysis'!A17</f>
        <v>PRD-016</v>
      </c>
      <c r="B25">
        <f>'Inventory Analysis'!F17</f>
        <v>0.11</v>
      </c>
      <c r="C25" s="3">
        <f>'Inventory Analysis'!E17</f>
        <v>2.7118566825454966</v>
      </c>
      <c r="D25" s="3">
        <f t="shared" si="0"/>
        <v>3</v>
      </c>
      <c r="E25" s="3">
        <f>'Inventory Analysis'!J17</f>
        <v>31</v>
      </c>
      <c r="F25" s="63">
        <f t="shared" si="1"/>
        <v>4</v>
      </c>
      <c r="G25" s="63">
        <f t="shared" si="2"/>
        <v>6</v>
      </c>
      <c r="H25" s="63">
        <f t="shared" si="3"/>
        <v>225</v>
      </c>
      <c r="I25" s="63" t="str">
        <f t="shared" si="4"/>
        <v>Stable</v>
      </c>
      <c r="J25" s="66">
        <f t="shared" si="5"/>
        <v>5</v>
      </c>
      <c r="K25" s="66">
        <f t="shared" si="6"/>
        <v>7</v>
      </c>
      <c r="L25" s="66">
        <f t="shared" si="7"/>
        <v>188</v>
      </c>
      <c r="M25" s="66" t="str">
        <f t="shared" si="8"/>
        <v>Stable</v>
      </c>
      <c r="N25" s="69">
        <f t="shared" si="13"/>
        <v>5</v>
      </c>
      <c r="O25" s="69">
        <f t="shared" si="10"/>
        <v>8</v>
      </c>
      <c r="P25" s="69">
        <f t="shared" si="11"/>
        <v>161</v>
      </c>
      <c r="Q25" s="69" t="str">
        <f t="shared" si="12"/>
        <v>Stable</v>
      </c>
    </row>
    <row r="26" spans="1:17" hidden="1">
      <c r="A26" t="str">
        <f>'Inventory Analysis'!A18</f>
        <v>PRD-017</v>
      </c>
      <c r="B26">
        <f>'Inventory Analysis'!F18</f>
        <v>0.14000000000000001</v>
      </c>
      <c r="C26" s="3">
        <f>'Inventory Analysis'!E18</f>
        <v>6.435952734701039</v>
      </c>
      <c r="D26" s="3">
        <f t="shared" si="0"/>
        <v>7</v>
      </c>
      <c r="E26" s="3">
        <f>'Inventory Analysis'!J18</f>
        <v>20</v>
      </c>
      <c r="F26" s="63">
        <f t="shared" si="1"/>
        <v>9</v>
      </c>
      <c r="G26" s="63">
        <f t="shared" si="2"/>
        <v>11</v>
      </c>
      <c r="H26" s="63">
        <f t="shared" si="3"/>
        <v>114</v>
      </c>
      <c r="I26" s="63" t="str">
        <f t="shared" si="4"/>
        <v>Stable</v>
      </c>
      <c r="J26" s="66">
        <f t="shared" si="5"/>
        <v>11</v>
      </c>
      <c r="K26" s="66">
        <f t="shared" si="6"/>
        <v>14</v>
      </c>
      <c r="L26" s="66">
        <f t="shared" si="7"/>
        <v>95</v>
      </c>
      <c r="M26" s="66" t="str">
        <f t="shared" si="8"/>
        <v>Stable</v>
      </c>
      <c r="N26" s="69">
        <f t="shared" si="13"/>
        <v>13</v>
      </c>
      <c r="O26" s="69">
        <f t="shared" si="10"/>
        <v>16</v>
      </c>
      <c r="P26" s="69">
        <f t="shared" si="11"/>
        <v>82</v>
      </c>
      <c r="Q26" s="69" t="str">
        <f t="shared" si="12"/>
        <v>Stable</v>
      </c>
    </row>
    <row r="27" spans="1:17" hidden="1">
      <c r="A27" t="str">
        <f>'Inventory Analysis'!A19</f>
        <v>PRD-018</v>
      </c>
      <c r="B27">
        <f>'Inventory Analysis'!F19</f>
        <v>0.19</v>
      </c>
      <c r="C27" s="3">
        <f>'Inventory Analysis'!E19</f>
        <v>4.1457809879442502</v>
      </c>
      <c r="D27" s="3">
        <f t="shared" si="0"/>
        <v>5</v>
      </c>
      <c r="E27" s="3">
        <f>'Inventory Analysis'!J19</f>
        <v>18</v>
      </c>
      <c r="F27" s="63">
        <f t="shared" si="1"/>
        <v>6</v>
      </c>
      <c r="G27" s="63">
        <f t="shared" si="2"/>
        <v>9</v>
      </c>
      <c r="H27" s="63">
        <f t="shared" si="3"/>
        <v>76</v>
      </c>
      <c r="I27" s="63" t="str">
        <f t="shared" si="4"/>
        <v>Stable</v>
      </c>
      <c r="J27" s="66">
        <f t="shared" si="5"/>
        <v>7</v>
      </c>
      <c r="K27" s="66">
        <f t="shared" si="6"/>
        <v>11</v>
      </c>
      <c r="L27" s="66">
        <f t="shared" si="7"/>
        <v>63</v>
      </c>
      <c r="M27" s="66" t="str">
        <f t="shared" si="8"/>
        <v>Stable</v>
      </c>
      <c r="N27" s="69">
        <f t="shared" si="13"/>
        <v>8</v>
      </c>
      <c r="O27" s="69">
        <f t="shared" si="10"/>
        <v>13</v>
      </c>
      <c r="P27" s="69">
        <f t="shared" si="11"/>
        <v>54</v>
      </c>
      <c r="Q27" s="69" t="str">
        <f t="shared" si="12"/>
        <v>Stable</v>
      </c>
    </row>
    <row r="28" spans="1:17" hidden="1">
      <c r="A28" t="str">
        <f>'Inventory Analysis'!A20</f>
        <v>PRD-019</v>
      </c>
      <c r="B28">
        <f>'Inventory Analysis'!F20</f>
        <v>0.16</v>
      </c>
      <c r="C28" s="3">
        <f>'Inventory Analysis'!E20</f>
        <v>3.3697732714273889</v>
      </c>
      <c r="D28" s="3">
        <f t="shared" si="0"/>
        <v>4</v>
      </c>
      <c r="E28" s="3" t="str">
        <f>'Inventory Analysis'!J20</f>
        <v>Missing</v>
      </c>
      <c r="F28" s="63">
        <f t="shared" si="1"/>
        <v>5</v>
      </c>
      <c r="G28" s="63">
        <f t="shared" si="2"/>
        <v>8</v>
      </c>
      <c r="H28" s="63">
        <f t="shared" si="3"/>
        <v>0</v>
      </c>
      <c r="I28" s="63" t="str">
        <f t="shared" si="4"/>
        <v>Missing</v>
      </c>
      <c r="J28" s="66">
        <f t="shared" si="5"/>
        <v>6</v>
      </c>
      <c r="K28" s="66">
        <f t="shared" si="6"/>
        <v>9</v>
      </c>
      <c r="L28" s="66">
        <f t="shared" si="7"/>
        <v>0</v>
      </c>
      <c r="M28" s="66" t="str">
        <f t="shared" si="8"/>
        <v>Missing</v>
      </c>
      <c r="N28" s="69">
        <f t="shared" si="13"/>
        <v>7</v>
      </c>
      <c r="O28" s="69">
        <f t="shared" si="10"/>
        <v>11</v>
      </c>
      <c r="P28" s="69">
        <f t="shared" si="11"/>
        <v>0</v>
      </c>
      <c r="Q28" s="69" t="str">
        <f t="shared" si="12"/>
        <v>Missing</v>
      </c>
    </row>
    <row r="29" spans="1:17" hidden="1">
      <c r="A29" t="str">
        <f>'Inventory Analysis'!A21</f>
        <v>PRD-020</v>
      </c>
      <c r="B29">
        <f>'Inventory Analysis'!F21</f>
        <v>0.15</v>
      </c>
      <c r="C29" s="3">
        <f>'Inventory Analysis'!E21</f>
        <v>2.8049542946439114</v>
      </c>
      <c r="D29" s="3">
        <f t="shared" si="0"/>
        <v>3</v>
      </c>
      <c r="E29" s="3">
        <f>'Inventory Analysis'!J21</f>
        <v>21</v>
      </c>
      <c r="F29" s="63">
        <f t="shared" si="1"/>
        <v>4</v>
      </c>
      <c r="G29" s="63">
        <f t="shared" si="2"/>
        <v>7</v>
      </c>
      <c r="H29" s="63">
        <f t="shared" si="3"/>
        <v>112</v>
      </c>
      <c r="I29" s="63" t="str">
        <f t="shared" si="4"/>
        <v>Stable</v>
      </c>
      <c r="J29" s="66">
        <f t="shared" si="5"/>
        <v>5</v>
      </c>
      <c r="K29" s="66">
        <f t="shared" si="6"/>
        <v>8</v>
      </c>
      <c r="L29" s="66">
        <f t="shared" si="7"/>
        <v>93</v>
      </c>
      <c r="M29" s="66" t="str">
        <f t="shared" si="8"/>
        <v>Stable</v>
      </c>
      <c r="N29" s="69">
        <f t="shared" si="13"/>
        <v>6</v>
      </c>
      <c r="O29" s="69">
        <f t="shared" si="10"/>
        <v>10</v>
      </c>
      <c r="P29" s="69">
        <f t="shared" si="11"/>
        <v>80</v>
      </c>
      <c r="Q29" s="69" t="str">
        <f t="shared" si="12"/>
        <v>Stable</v>
      </c>
    </row>
    <row r="30" spans="1:17" hidden="1">
      <c r="A30" t="str">
        <f>'Inventory Analysis'!A22</f>
        <v>PRD-021</v>
      </c>
      <c r="B30">
        <f>'Inventory Analysis'!F22</f>
        <v>0.19</v>
      </c>
      <c r="C30" s="3">
        <f>'Inventory Analysis'!E22</f>
        <v>3.5148494514938569</v>
      </c>
      <c r="D30" s="3">
        <f t="shared" si="0"/>
        <v>4</v>
      </c>
      <c r="E30" s="3">
        <f>'Inventory Analysis'!J22</f>
        <v>22</v>
      </c>
      <c r="F30" s="63">
        <f t="shared" si="1"/>
        <v>5</v>
      </c>
      <c r="G30" s="63">
        <f t="shared" si="2"/>
        <v>8</v>
      </c>
      <c r="H30" s="63">
        <f t="shared" si="3"/>
        <v>93</v>
      </c>
      <c r="I30" s="63" t="str">
        <f t="shared" si="4"/>
        <v>Stable</v>
      </c>
      <c r="J30" s="66">
        <f t="shared" si="5"/>
        <v>6</v>
      </c>
      <c r="K30" s="66">
        <f t="shared" si="6"/>
        <v>10</v>
      </c>
      <c r="L30" s="66">
        <f t="shared" si="7"/>
        <v>77</v>
      </c>
      <c r="M30" s="66" t="str">
        <f t="shared" si="8"/>
        <v>Stable</v>
      </c>
      <c r="N30" s="69">
        <f t="shared" si="13"/>
        <v>7</v>
      </c>
      <c r="O30" s="69">
        <f t="shared" si="10"/>
        <v>12</v>
      </c>
      <c r="P30" s="69">
        <f t="shared" si="11"/>
        <v>66</v>
      </c>
      <c r="Q30" s="69" t="str">
        <f t="shared" si="12"/>
        <v>Stable</v>
      </c>
    </row>
    <row r="31" spans="1:17" hidden="1">
      <c r="A31" t="str">
        <f>'Inventory Analysis'!A23</f>
        <v>PRD-022</v>
      </c>
      <c r="B31">
        <f>'Inventory Analysis'!F23</f>
        <v>0.17</v>
      </c>
      <c r="C31" s="3">
        <f>'Inventory Analysis'!E23</f>
        <v>4.1120665010540511</v>
      </c>
      <c r="D31" s="3">
        <f t="shared" si="0"/>
        <v>5</v>
      </c>
      <c r="E31" s="3">
        <f>'Inventory Analysis'!J23</f>
        <v>31</v>
      </c>
      <c r="F31" s="63">
        <f t="shared" si="1"/>
        <v>6</v>
      </c>
      <c r="G31" s="63">
        <f t="shared" si="2"/>
        <v>9</v>
      </c>
      <c r="H31" s="63">
        <f t="shared" si="3"/>
        <v>146</v>
      </c>
      <c r="I31" s="63" t="str">
        <f t="shared" si="4"/>
        <v>Stable</v>
      </c>
      <c r="J31" s="66">
        <f t="shared" si="5"/>
        <v>7</v>
      </c>
      <c r="K31" s="66">
        <f t="shared" si="6"/>
        <v>11</v>
      </c>
      <c r="L31" s="66">
        <f t="shared" si="7"/>
        <v>122</v>
      </c>
      <c r="M31" s="66" t="str">
        <f t="shared" si="8"/>
        <v>Stable</v>
      </c>
      <c r="N31" s="69">
        <f t="shared" si="13"/>
        <v>8</v>
      </c>
      <c r="O31" s="69">
        <f t="shared" si="10"/>
        <v>12</v>
      </c>
      <c r="P31" s="69">
        <f t="shared" si="11"/>
        <v>104</v>
      </c>
      <c r="Q31" s="69" t="str">
        <f t="shared" si="12"/>
        <v>Stable</v>
      </c>
    </row>
    <row r="32" spans="1:17" hidden="1">
      <c r="A32" t="str">
        <f>'Inventory Analysis'!A24</f>
        <v>PRD-023</v>
      </c>
      <c r="B32">
        <f>'Inventory Analysis'!F24</f>
        <v>0.14000000000000001</v>
      </c>
      <c r="C32" s="3">
        <f>'Inventory Analysis'!E24</f>
        <v>2.987577586391815</v>
      </c>
      <c r="D32" s="3">
        <f t="shared" si="0"/>
        <v>3</v>
      </c>
      <c r="E32" s="3">
        <f>'Inventory Analysis'!J24</f>
        <v>39</v>
      </c>
      <c r="F32" s="63">
        <f t="shared" si="1"/>
        <v>4</v>
      </c>
      <c r="G32" s="63">
        <f t="shared" si="2"/>
        <v>6</v>
      </c>
      <c r="H32" s="63">
        <f t="shared" si="3"/>
        <v>223</v>
      </c>
      <c r="I32" s="63" t="str">
        <f t="shared" si="4"/>
        <v>Stable</v>
      </c>
      <c r="J32" s="66">
        <f t="shared" si="5"/>
        <v>5</v>
      </c>
      <c r="K32" s="66">
        <f t="shared" si="6"/>
        <v>8</v>
      </c>
      <c r="L32" s="66">
        <f t="shared" si="7"/>
        <v>186</v>
      </c>
      <c r="M32" s="66" t="str">
        <f t="shared" si="8"/>
        <v>Stable</v>
      </c>
      <c r="N32" s="69">
        <f t="shared" si="13"/>
        <v>6</v>
      </c>
      <c r="O32" s="69">
        <f t="shared" si="10"/>
        <v>9</v>
      </c>
      <c r="P32" s="69">
        <f t="shared" si="11"/>
        <v>159</v>
      </c>
      <c r="Q32" s="69" t="str">
        <f t="shared" si="12"/>
        <v>Stable</v>
      </c>
    </row>
    <row r="33" spans="1:17" hidden="1">
      <c r="A33" t="str">
        <f>'Inventory Analysis'!A25</f>
        <v>PRD-024</v>
      </c>
      <c r="B33">
        <f>'Inventory Analysis'!F25</f>
        <v>0.26</v>
      </c>
      <c r="C33" s="3">
        <f>'Inventory Analysis'!E25</f>
        <v>4.4416657980681524</v>
      </c>
      <c r="D33" s="3">
        <f t="shared" si="0"/>
        <v>5</v>
      </c>
      <c r="E33" s="3">
        <f>'Inventory Analysis'!J25</f>
        <v>27</v>
      </c>
      <c r="F33" s="63">
        <f t="shared" si="1"/>
        <v>6</v>
      </c>
      <c r="G33" s="63">
        <f t="shared" si="2"/>
        <v>11</v>
      </c>
      <c r="H33" s="63">
        <f t="shared" si="3"/>
        <v>83</v>
      </c>
      <c r="I33" s="63" t="str">
        <f t="shared" si="4"/>
        <v>Stable</v>
      </c>
      <c r="J33" s="66">
        <f t="shared" si="5"/>
        <v>8</v>
      </c>
      <c r="K33" s="66">
        <f t="shared" si="6"/>
        <v>13</v>
      </c>
      <c r="L33" s="66">
        <f t="shared" si="7"/>
        <v>69</v>
      </c>
      <c r="M33" s="66" t="str">
        <f t="shared" si="8"/>
        <v>Stable</v>
      </c>
      <c r="N33" s="69">
        <f t="shared" si="13"/>
        <v>9</v>
      </c>
      <c r="O33" s="69">
        <f t="shared" si="10"/>
        <v>15</v>
      </c>
      <c r="P33" s="69">
        <f t="shared" si="11"/>
        <v>59</v>
      </c>
      <c r="Q33" s="69" t="str">
        <f t="shared" si="12"/>
        <v>Stable</v>
      </c>
    </row>
    <row r="34" spans="1:17" hidden="1">
      <c r="A34" t="str">
        <f>'Inventory Analysis'!A26</f>
        <v>PRD-025</v>
      </c>
      <c r="B34">
        <f>'Inventory Analysis'!F26</f>
        <v>0.17</v>
      </c>
      <c r="C34" s="3">
        <f>'Inventory Analysis'!E26</f>
        <v>2.5110865288865605</v>
      </c>
      <c r="D34" s="3">
        <f t="shared" si="0"/>
        <v>3</v>
      </c>
      <c r="E34" s="3">
        <f>'Inventory Analysis'!J26</f>
        <v>21</v>
      </c>
      <c r="F34" s="63">
        <f t="shared" si="1"/>
        <v>4</v>
      </c>
      <c r="G34" s="63">
        <f t="shared" si="2"/>
        <v>7</v>
      </c>
      <c r="H34" s="63">
        <f t="shared" si="3"/>
        <v>99</v>
      </c>
      <c r="I34" s="63" t="str">
        <f t="shared" si="4"/>
        <v>Stable</v>
      </c>
      <c r="J34" s="66">
        <f t="shared" si="5"/>
        <v>4</v>
      </c>
      <c r="K34" s="66">
        <f t="shared" si="6"/>
        <v>8</v>
      </c>
      <c r="L34" s="66">
        <f t="shared" si="7"/>
        <v>82</v>
      </c>
      <c r="M34" s="66" t="str">
        <f t="shared" si="8"/>
        <v>Stable</v>
      </c>
      <c r="N34" s="69">
        <f t="shared" si="13"/>
        <v>5</v>
      </c>
      <c r="O34" s="69">
        <f t="shared" si="10"/>
        <v>9</v>
      </c>
      <c r="P34" s="69">
        <f t="shared" si="11"/>
        <v>71</v>
      </c>
      <c r="Q34" s="69" t="str">
        <f t="shared" si="12"/>
        <v>Stable</v>
      </c>
    </row>
    <row r="35" spans="1:17" hidden="1">
      <c r="A35" t="str">
        <f>'Inventory Analysis'!A27</f>
        <v>PRD-026</v>
      </c>
      <c r="B35">
        <f>'Inventory Analysis'!F27</f>
        <v>0.15</v>
      </c>
      <c r="C35" s="3">
        <f>'Inventory Analysis'!E27</f>
        <v>3.1122259579315799</v>
      </c>
      <c r="D35" s="3">
        <f t="shared" si="0"/>
        <v>4</v>
      </c>
      <c r="E35" s="3">
        <f>'Inventory Analysis'!J27</f>
        <v>38</v>
      </c>
      <c r="F35" s="63">
        <f t="shared" si="1"/>
        <v>4</v>
      </c>
      <c r="G35" s="63">
        <f t="shared" si="2"/>
        <v>7</v>
      </c>
      <c r="H35" s="63">
        <f t="shared" si="3"/>
        <v>203</v>
      </c>
      <c r="I35" s="63" t="str">
        <f t="shared" si="4"/>
        <v>Stable</v>
      </c>
      <c r="J35" s="66">
        <f t="shared" si="5"/>
        <v>5</v>
      </c>
      <c r="K35" s="66">
        <f t="shared" si="6"/>
        <v>8</v>
      </c>
      <c r="L35" s="66">
        <f t="shared" si="7"/>
        <v>169</v>
      </c>
      <c r="M35" s="66" t="str">
        <f t="shared" si="8"/>
        <v>Stable</v>
      </c>
      <c r="N35" s="69">
        <f t="shared" si="13"/>
        <v>6</v>
      </c>
      <c r="O35" s="69">
        <f t="shared" si="10"/>
        <v>10</v>
      </c>
      <c r="P35" s="69">
        <f t="shared" si="11"/>
        <v>145</v>
      </c>
      <c r="Q35" s="69" t="str">
        <f t="shared" si="12"/>
        <v>Stable</v>
      </c>
    </row>
    <row r="36" spans="1:17" hidden="1">
      <c r="A36" t="str">
        <f>'Inventory Analysis'!A28</f>
        <v>PRD-027</v>
      </c>
      <c r="B36">
        <f>'Inventory Analysis'!F28</f>
        <v>0.16</v>
      </c>
      <c r="C36" s="3">
        <f>'Inventory Analysis'!E28</f>
        <v>3.1764760348537182</v>
      </c>
      <c r="D36" s="3">
        <f t="shared" si="0"/>
        <v>4</v>
      </c>
      <c r="E36" s="3">
        <f>'Inventory Analysis'!J28</f>
        <v>7</v>
      </c>
      <c r="F36" s="63">
        <f t="shared" si="1"/>
        <v>4</v>
      </c>
      <c r="G36" s="63">
        <f t="shared" si="2"/>
        <v>7</v>
      </c>
      <c r="H36" s="63">
        <f t="shared" si="3"/>
        <v>35</v>
      </c>
      <c r="I36" s="63" t="str">
        <f t="shared" si="4"/>
        <v>Watch</v>
      </c>
      <c r="J36" s="66">
        <f t="shared" si="5"/>
        <v>5</v>
      </c>
      <c r="K36" s="66">
        <f t="shared" si="6"/>
        <v>8</v>
      </c>
      <c r="L36" s="66">
        <f t="shared" si="7"/>
        <v>29</v>
      </c>
      <c r="M36" s="66" t="str">
        <f t="shared" si="8"/>
        <v>Danger</v>
      </c>
      <c r="N36" s="69">
        <f t="shared" si="13"/>
        <v>6</v>
      </c>
      <c r="O36" s="69">
        <f t="shared" si="10"/>
        <v>10</v>
      </c>
      <c r="P36" s="69">
        <f t="shared" si="11"/>
        <v>25</v>
      </c>
      <c r="Q36" s="69" t="str">
        <f t="shared" si="12"/>
        <v>Danger</v>
      </c>
    </row>
    <row r="37" spans="1:17" hidden="1">
      <c r="A37" t="str">
        <f>'Inventory Analysis'!A29</f>
        <v>PRD-028</v>
      </c>
      <c r="B37">
        <f>'Inventory Analysis'!F29</f>
        <v>0.13</v>
      </c>
      <c r="C37" s="3">
        <f>'Inventory Analysis'!E29</f>
        <v>2.4986107250941583</v>
      </c>
      <c r="D37" s="3">
        <f t="shared" si="0"/>
        <v>3</v>
      </c>
      <c r="E37" s="3">
        <f>'Inventory Analysis'!J29</f>
        <v>18</v>
      </c>
      <c r="F37" s="63">
        <f t="shared" si="1"/>
        <v>4</v>
      </c>
      <c r="G37" s="63">
        <f t="shared" si="2"/>
        <v>6</v>
      </c>
      <c r="H37" s="63">
        <f t="shared" si="3"/>
        <v>111</v>
      </c>
      <c r="I37" s="63" t="str">
        <f t="shared" si="4"/>
        <v>Stable</v>
      </c>
      <c r="J37" s="66">
        <f t="shared" si="5"/>
        <v>4</v>
      </c>
      <c r="K37" s="66">
        <f t="shared" si="6"/>
        <v>7</v>
      </c>
      <c r="L37" s="66">
        <f t="shared" si="7"/>
        <v>92</v>
      </c>
      <c r="M37" s="66" t="str">
        <f t="shared" si="8"/>
        <v>Stable</v>
      </c>
      <c r="N37" s="69">
        <f t="shared" si="13"/>
        <v>5</v>
      </c>
      <c r="O37" s="69">
        <f t="shared" si="10"/>
        <v>8</v>
      </c>
      <c r="P37" s="69">
        <f t="shared" si="11"/>
        <v>79</v>
      </c>
      <c r="Q37" s="69" t="str">
        <f t="shared" si="12"/>
        <v>Stable</v>
      </c>
    </row>
    <row r="38" spans="1:17" hidden="1">
      <c r="A38" t="str">
        <f>'Inventory Analysis'!A30</f>
        <v>PRD-029</v>
      </c>
      <c r="B38">
        <f>'Inventory Analysis'!F30</f>
        <v>0.18</v>
      </c>
      <c r="C38" s="3">
        <f>'Inventory Analysis'!E30</f>
        <v>3.8676449793059358</v>
      </c>
      <c r="D38" s="3">
        <f t="shared" si="0"/>
        <v>4</v>
      </c>
      <c r="E38" s="3">
        <f>'Inventory Analysis'!J30</f>
        <v>29</v>
      </c>
      <c r="F38" s="63">
        <f t="shared" si="1"/>
        <v>5</v>
      </c>
      <c r="G38" s="63">
        <f t="shared" si="2"/>
        <v>8</v>
      </c>
      <c r="H38" s="63">
        <f t="shared" si="3"/>
        <v>129</v>
      </c>
      <c r="I38" s="63" t="str">
        <f t="shared" si="4"/>
        <v>Stable</v>
      </c>
      <c r="J38" s="66">
        <f t="shared" si="5"/>
        <v>7</v>
      </c>
      <c r="K38" s="66">
        <f t="shared" si="6"/>
        <v>11</v>
      </c>
      <c r="L38" s="66">
        <f t="shared" si="7"/>
        <v>107</v>
      </c>
      <c r="M38" s="66" t="str">
        <f t="shared" si="8"/>
        <v>Stable</v>
      </c>
      <c r="N38" s="69">
        <f t="shared" si="13"/>
        <v>8</v>
      </c>
      <c r="O38" s="69">
        <f t="shared" si="10"/>
        <v>12</v>
      </c>
      <c r="P38" s="69">
        <f t="shared" si="11"/>
        <v>92</v>
      </c>
      <c r="Q38" s="69" t="str">
        <f t="shared" si="12"/>
        <v>Stable</v>
      </c>
    </row>
    <row r="39" spans="1:17">
      <c r="A39" t="str">
        <f>'Inventory Analysis'!A31</f>
        <v>PRD-030</v>
      </c>
      <c r="B39">
        <f>'Inventory Analysis'!F31</f>
        <v>0.18</v>
      </c>
      <c r="C39" s="3">
        <f>'Inventory Analysis'!E31</f>
        <v>4.364630568559039</v>
      </c>
      <c r="D39" s="3">
        <f t="shared" si="0"/>
        <v>5</v>
      </c>
      <c r="E39" s="3">
        <f>'Inventory Analysis'!J31</f>
        <v>5</v>
      </c>
      <c r="F39" s="63">
        <f t="shared" si="1"/>
        <v>6</v>
      </c>
      <c r="G39" s="63">
        <f t="shared" si="2"/>
        <v>9</v>
      </c>
      <c r="H39" s="63">
        <f t="shared" si="3"/>
        <v>22</v>
      </c>
      <c r="I39" s="63" t="str">
        <f t="shared" si="4"/>
        <v>Danger</v>
      </c>
      <c r="J39" s="66">
        <f t="shared" si="5"/>
        <v>7</v>
      </c>
      <c r="K39" s="66">
        <f t="shared" si="6"/>
        <v>11</v>
      </c>
      <c r="L39" s="66">
        <f t="shared" si="7"/>
        <v>19</v>
      </c>
      <c r="M39" s="66" t="str">
        <f t="shared" si="8"/>
        <v>Danger</v>
      </c>
      <c r="N39" s="69">
        <f t="shared" si="13"/>
        <v>9</v>
      </c>
      <c r="O39" s="69">
        <f t="shared" si="10"/>
        <v>13</v>
      </c>
      <c r="P39" s="69">
        <f t="shared" si="11"/>
        <v>16</v>
      </c>
      <c r="Q39" s="69" t="str">
        <f t="shared" si="12"/>
        <v>Danger</v>
      </c>
    </row>
    <row r="40" spans="1:17" hidden="1">
      <c r="A40" t="str">
        <f>'Inventory Analysis'!A32</f>
        <v>PRD-031</v>
      </c>
      <c r="B40">
        <f>'Inventory Analysis'!F32</f>
        <v>0.22</v>
      </c>
      <c r="C40" s="3">
        <f>'Inventory Analysis'!E32</f>
        <v>3.1648900337325836</v>
      </c>
      <c r="D40" s="3">
        <f t="shared" si="0"/>
        <v>4</v>
      </c>
      <c r="E40" s="3" t="str">
        <f>'Inventory Analysis'!J32</f>
        <v>Missing</v>
      </c>
      <c r="F40" s="63">
        <f t="shared" si="1"/>
        <v>4</v>
      </c>
      <c r="G40" s="63">
        <f t="shared" si="2"/>
        <v>8</v>
      </c>
      <c r="H40" s="63">
        <f t="shared" si="3"/>
        <v>0</v>
      </c>
      <c r="I40" s="63" t="str">
        <f t="shared" si="4"/>
        <v>Missing</v>
      </c>
      <c r="J40" s="66">
        <f t="shared" si="5"/>
        <v>5</v>
      </c>
      <c r="K40" s="66">
        <f t="shared" si="6"/>
        <v>10</v>
      </c>
      <c r="L40" s="66">
        <f t="shared" si="7"/>
        <v>0</v>
      </c>
      <c r="M40" s="66" t="str">
        <f t="shared" si="8"/>
        <v>Missing</v>
      </c>
      <c r="N40" s="69">
        <f t="shared" si="13"/>
        <v>6</v>
      </c>
      <c r="O40" s="69">
        <f t="shared" si="10"/>
        <v>11</v>
      </c>
      <c r="P40" s="69">
        <f t="shared" si="11"/>
        <v>0</v>
      </c>
      <c r="Q40" s="69" t="str">
        <f t="shared" si="12"/>
        <v>Missing</v>
      </c>
    </row>
    <row r="41" spans="1:17" hidden="1">
      <c r="A41" t="str">
        <f>'Inventory Analysis'!A33</f>
        <v>PRD-032</v>
      </c>
      <c r="B41">
        <f>'Inventory Analysis'!F33</f>
        <v>0.15</v>
      </c>
      <c r="C41" s="3">
        <f>'Inventory Analysis'!E33</f>
        <v>3.5227435646413752</v>
      </c>
      <c r="D41" s="3">
        <f t="shared" si="0"/>
        <v>4</v>
      </c>
      <c r="E41" s="3">
        <f>'Inventory Analysis'!J33</f>
        <v>29</v>
      </c>
      <c r="F41" s="63">
        <f t="shared" si="1"/>
        <v>5</v>
      </c>
      <c r="G41" s="63">
        <f t="shared" si="2"/>
        <v>8</v>
      </c>
      <c r="H41" s="63">
        <f t="shared" si="3"/>
        <v>155</v>
      </c>
      <c r="I41" s="63" t="str">
        <f t="shared" si="4"/>
        <v>Stable</v>
      </c>
      <c r="J41" s="66">
        <f t="shared" si="5"/>
        <v>6</v>
      </c>
      <c r="K41" s="66">
        <f t="shared" si="6"/>
        <v>9</v>
      </c>
      <c r="L41" s="66">
        <f t="shared" si="7"/>
        <v>129</v>
      </c>
      <c r="M41" s="66" t="str">
        <f t="shared" si="8"/>
        <v>Stable</v>
      </c>
      <c r="N41" s="69">
        <f t="shared" si="13"/>
        <v>7</v>
      </c>
      <c r="O41" s="69">
        <f t="shared" si="10"/>
        <v>11</v>
      </c>
      <c r="P41" s="69">
        <f t="shared" si="11"/>
        <v>110</v>
      </c>
      <c r="Q41" s="69" t="str">
        <f t="shared" si="12"/>
        <v>Stable</v>
      </c>
    </row>
    <row r="42" spans="1:17" hidden="1">
      <c r="A42" t="str">
        <f>'Inventory Analysis'!A34</f>
        <v>PRD-033</v>
      </c>
      <c r="B42">
        <f>'Inventory Analysis'!F34</f>
        <v>0.17</v>
      </c>
      <c r="C42" s="3">
        <f>'Inventory Analysis'!E34</f>
        <v>3.8809442659051068</v>
      </c>
      <c r="D42" s="3">
        <f t="shared" si="0"/>
        <v>4</v>
      </c>
      <c r="E42" s="3" t="str">
        <f>'Inventory Analysis'!J34</f>
        <v>Missing</v>
      </c>
      <c r="F42" s="63">
        <f t="shared" si="1"/>
        <v>5</v>
      </c>
      <c r="G42" s="63">
        <f t="shared" si="2"/>
        <v>8</v>
      </c>
      <c r="H42" s="63">
        <f t="shared" si="3"/>
        <v>0</v>
      </c>
      <c r="I42" s="63" t="str">
        <f t="shared" si="4"/>
        <v>Missing</v>
      </c>
      <c r="J42" s="66">
        <f t="shared" si="5"/>
        <v>7</v>
      </c>
      <c r="K42" s="66">
        <f t="shared" si="6"/>
        <v>11</v>
      </c>
      <c r="L42" s="66">
        <f t="shared" si="7"/>
        <v>0</v>
      </c>
      <c r="M42" s="66" t="str">
        <f t="shared" si="8"/>
        <v>Missing</v>
      </c>
      <c r="N42" s="69">
        <f t="shared" si="13"/>
        <v>8</v>
      </c>
      <c r="O42" s="69">
        <f t="shared" si="10"/>
        <v>12</v>
      </c>
      <c r="P42" s="69">
        <f t="shared" si="11"/>
        <v>0</v>
      </c>
      <c r="Q42" s="69" t="str">
        <f t="shared" si="12"/>
        <v>Missing</v>
      </c>
    </row>
    <row r="43" spans="1:17" hidden="1">
      <c r="A43" t="str">
        <f>'Inventory Analysis'!A35</f>
        <v>PRD-034</v>
      </c>
      <c r="B43">
        <f>'Inventory Analysis'!F35</f>
        <v>0.17</v>
      </c>
      <c r="C43" s="3">
        <f>'Inventory Analysis'!E35</f>
        <v>4.5607017003965522</v>
      </c>
      <c r="D43" s="3">
        <f t="shared" si="0"/>
        <v>5</v>
      </c>
      <c r="E43" s="3">
        <f>'Inventory Analysis'!J35</f>
        <v>13</v>
      </c>
      <c r="F43" s="63">
        <f t="shared" si="1"/>
        <v>6</v>
      </c>
      <c r="G43" s="63">
        <f t="shared" si="2"/>
        <v>9</v>
      </c>
      <c r="H43" s="63">
        <f t="shared" si="3"/>
        <v>61</v>
      </c>
      <c r="I43" s="63" t="str">
        <f t="shared" si="4"/>
        <v>Stable</v>
      </c>
      <c r="J43" s="66">
        <f t="shared" si="5"/>
        <v>8</v>
      </c>
      <c r="K43" s="66">
        <f t="shared" si="6"/>
        <v>12</v>
      </c>
      <c r="L43" s="66">
        <f t="shared" si="7"/>
        <v>51</v>
      </c>
      <c r="M43" s="66" t="str">
        <f t="shared" si="8"/>
        <v>Watch</v>
      </c>
      <c r="N43" s="69">
        <f t="shared" si="13"/>
        <v>9</v>
      </c>
      <c r="O43" s="69">
        <f t="shared" si="10"/>
        <v>13</v>
      </c>
      <c r="P43" s="69">
        <f t="shared" si="11"/>
        <v>44</v>
      </c>
      <c r="Q43" s="69" t="str">
        <f t="shared" si="12"/>
        <v>Watch</v>
      </c>
    </row>
    <row r="44" spans="1:17" hidden="1">
      <c r="A44" t="str">
        <f>'Inventory Analysis'!A36</f>
        <v>PRD-035</v>
      </c>
      <c r="B44">
        <f>'Inventory Analysis'!F36</f>
        <v>0.18</v>
      </c>
      <c r="C44" s="3">
        <f>'Inventory Analysis'!E36</f>
        <v>4.0069384267237691</v>
      </c>
      <c r="D44" s="3">
        <f t="shared" si="0"/>
        <v>5</v>
      </c>
      <c r="E44" s="3">
        <f>'Inventory Analysis'!J36</f>
        <v>22</v>
      </c>
      <c r="F44" s="63">
        <f t="shared" si="1"/>
        <v>6</v>
      </c>
      <c r="G44" s="63">
        <f t="shared" si="2"/>
        <v>9</v>
      </c>
      <c r="H44" s="63">
        <f t="shared" si="3"/>
        <v>98</v>
      </c>
      <c r="I44" s="63" t="str">
        <f t="shared" si="4"/>
        <v>Stable</v>
      </c>
      <c r="J44" s="66">
        <f t="shared" si="5"/>
        <v>7</v>
      </c>
      <c r="K44" s="66">
        <f t="shared" si="6"/>
        <v>11</v>
      </c>
      <c r="L44" s="66">
        <f t="shared" si="7"/>
        <v>81</v>
      </c>
      <c r="M44" s="66" t="str">
        <f t="shared" si="8"/>
        <v>Stable</v>
      </c>
      <c r="N44" s="69">
        <f t="shared" si="13"/>
        <v>8</v>
      </c>
      <c r="O44" s="69">
        <f t="shared" si="10"/>
        <v>12</v>
      </c>
      <c r="P44" s="69">
        <f t="shared" si="11"/>
        <v>70</v>
      </c>
      <c r="Q44" s="69" t="str">
        <f t="shared" si="12"/>
        <v>Stable</v>
      </c>
    </row>
    <row r="45" spans="1:17" hidden="1">
      <c r="A45" t="str">
        <f>'Inventory Analysis'!A37</f>
        <v>PRD-036</v>
      </c>
      <c r="B45">
        <f>'Inventory Analysis'!F37</f>
        <v>0.18</v>
      </c>
      <c r="C45" s="3">
        <f>'Inventory Analysis'!E37</f>
        <v>2.7990553306073913</v>
      </c>
      <c r="D45" s="3">
        <f t="shared" si="0"/>
        <v>3</v>
      </c>
      <c r="E45" s="3">
        <f>'Inventory Analysis'!J37</f>
        <v>16</v>
      </c>
      <c r="F45" s="63">
        <f t="shared" si="1"/>
        <v>4</v>
      </c>
      <c r="G45" s="63">
        <f t="shared" si="2"/>
        <v>7</v>
      </c>
      <c r="H45" s="63">
        <f t="shared" si="3"/>
        <v>71</v>
      </c>
      <c r="I45" s="63" t="str">
        <f t="shared" si="4"/>
        <v>Stable</v>
      </c>
      <c r="J45" s="66">
        <f t="shared" si="5"/>
        <v>5</v>
      </c>
      <c r="K45" s="66">
        <f t="shared" si="6"/>
        <v>9</v>
      </c>
      <c r="L45" s="66">
        <f t="shared" si="7"/>
        <v>59</v>
      </c>
      <c r="M45" s="66" t="str">
        <f t="shared" si="8"/>
        <v>Stable</v>
      </c>
      <c r="N45" s="69">
        <f t="shared" si="13"/>
        <v>6</v>
      </c>
      <c r="O45" s="69">
        <f t="shared" si="10"/>
        <v>10</v>
      </c>
      <c r="P45" s="69">
        <f t="shared" si="11"/>
        <v>51</v>
      </c>
      <c r="Q45" s="69" t="str">
        <f t="shared" si="12"/>
        <v>Stable</v>
      </c>
    </row>
    <row r="46" spans="1:17" hidden="1">
      <c r="A46" t="str">
        <f>'Inventory Analysis'!A38</f>
        <v>PRD-037</v>
      </c>
      <c r="B46">
        <f>'Inventory Analysis'!F38</f>
        <v>0.22</v>
      </c>
      <c r="C46" s="3">
        <f>'Inventory Analysis'!E38</f>
        <v>4.3560540184403411</v>
      </c>
      <c r="D46" s="3">
        <f t="shared" si="0"/>
        <v>5</v>
      </c>
      <c r="E46" s="3">
        <f>'Inventory Analysis'!J38</f>
        <v>28</v>
      </c>
      <c r="F46" s="63">
        <f t="shared" si="1"/>
        <v>6</v>
      </c>
      <c r="G46" s="63">
        <f t="shared" si="2"/>
        <v>10</v>
      </c>
      <c r="H46" s="63">
        <f t="shared" si="3"/>
        <v>102</v>
      </c>
      <c r="I46" s="63" t="str">
        <f t="shared" si="4"/>
        <v>Stable</v>
      </c>
      <c r="J46" s="66">
        <f t="shared" si="5"/>
        <v>7</v>
      </c>
      <c r="K46" s="66">
        <f t="shared" si="6"/>
        <v>12</v>
      </c>
      <c r="L46" s="66">
        <f t="shared" si="7"/>
        <v>85</v>
      </c>
      <c r="M46" s="66" t="str">
        <f t="shared" si="8"/>
        <v>Stable</v>
      </c>
      <c r="N46" s="69">
        <f t="shared" si="13"/>
        <v>9</v>
      </c>
      <c r="O46" s="69">
        <f t="shared" si="10"/>
        <v>14</v>
      </c>
      <c r="P46" s="69">
        <f t="shared" si="11"/>
        <v>73</v>
      </c>
      <c r="Q46" s="69" t="str">
        <f t="shared" si="12"/>
        <v>Stable</v>
      </c>
    </row>
    <row r="47" spans="1:17">
      <c r="A47" t="str">
        <f>'Inventory Analysis'!A39</f>
        <v>PRD-038</v>
      </c>
      <c r="B47">
        <f>'Inventory Analysis'!F39</f>
        <v>0.12</v>
      </c>
      <c r="C47" s="3">
        <f>'Inventory Analysis'!E39</f>
        <v>2.9569919940528351</v>
      </c>
      <c r="D47" s="3">
        <f t="shared" si="0"/>
        <v>3</v>
      </c>
      <c r="E47" s="3">
        <f>'Inventory Analysis'!J39</f>
        <v>3</v>
      </c>
      <c r="F47" s="63">
        <f t="shared" si="1"/>
        <v>4</v>
      </c>
      <c r="G47" s="63">
        <f t="shared" si="2"/>
        <v>6</v>
      </c>
      <c r="H47" s="63">
        <f t="shared" si="3"/>
        <v>20</v>
      </c>
      <c r="I47" s="63" t="str">
        <f t="shared" si="4"/>
        <v>Danger</v>
      </c>
      <c r="J47" s="66">
        <f t="shared" si="5"/>
        <v>5</v>
      </c>
      <c r="K47" s="66">
        <f t="shared" si="6"/>
        <v>8</v>
      </c>
      <c r="L47" s="66">
        <f t="shared" si="7"/>
        <v>17</v>
      </c>
      <c r="M47" s="66" t="str">
        <f t="shared" si="8"/>
        <v>Danger</v>
      </c>
      <c r="N47" s="69">
        <f t="shared" si="13"/>
        <v>6</v>
      </c>
      <c r="O47" s="69">
        <f t="shared" si="10"/>
        <v>9</v>
      </c>
      <c r="P47" s="69">
        <f t="shared" si="11"/>
        <v>14</v>
      </c>
      <c r="Q47" s="69" t="str">
        <f t="shared" si="12"/>
        <v>Danger</v>
      </c>
    </row>
    <row r="48" spans="1:17" hidden="1">
      <c r="A48" t="str">
        <f>'Inventory Analysis'!A40</f>
        <v>PRD-039</v>
      </c>
      <c r="B48">
        <f>'Inventory Analysis'!F40</f>
        <v>0.16</v>
      </c>
      <c r="C48" s="3">
        <f>'Inventory Analysis'!E40</f>
        <v>2.4052284646041735</v>
      </c>
      <c r="D48" s="3">
        <f t="shared" si="0"/>
        <v>3</v>
      </c>
      <c r="E48" s="3">
        <f>'Inventory Analysis'!J40</f>
        <v>10</v>
      </c>
      <c r="F48" s="63">
        <f t="shared" si="1"/>
        <v>3</v>
      </c>
      <c r="G48" s="63">
        <f t="shared" si="2"/>
        <v>6</v>
      </c>
      <c r="H48" s="63">
        <f t="shared" si="3"/>
        <v>50</v>
      </c>
      <c r="I48" s="63" t="str">
        <f t="shared" si="4"/>
        <v>Stable</v>
      </c>
      <c r="J48" s="66">
        <f t="shared" si="5"/>
        <v>4</v>
      </c>
      <c r="K48" s="66">
        <f t="shared" si="6"/>
        <v>7</v>
      </c>
      <c r="L48" s="66">
        <f t="shared" si="7"/>
        <v>42</v>
      </c>
      <c r="M48" s="66" t="str">
        <f t="shared" si="8"/>
        <v>Stable</v>
      </c>
      <c r="N48" s="69">
        <f t="shared" si="13"/>
        <v>5</v>
      </c>
      <c r="O48" s="69">
        <f t="shared" si="10"/>
        <v>9</v>
      </c>
      <c r="P48" s="69">
        <f t="shared" si="11"/>
        <v>36</v>
      </c>
      <c r="Q48" s="69" t="str">
        <f t="shared" si="12"/>
        <v>Watch</v>
      </c>
    </row>
    <row r="49" spans="1:17" hidden="1">
      <c r="A49" t="str">
        <f>'Inventory Analysis'!A41</f>
        <v>PRD-040</v>
      </c>
      <c r="B49">
        <f>'Inventory Analysis'!F41</f>
        <v>0.14000000000000001</v>
      </c>
      <c r="C49" s="3">
        <f>'Inventory Analysis'!E41</f>
        <v>2.5968830649246728</v>
      </c>
      <c r="D49" s="3">
        <f t="shared" si="0"/>
        <v>3</v>
      </c>
      <c r="E49" s="3">
        <f>'Inventory Analysis'!J41</f>
        <v>30</v>
      </c>
      <c r="F49" s="63">
        <f t="shared" si="1"/>
        <v>4</v>
      </c>
      <c r="G49" s="63">
        <f t="shared" si="2"/>
        <v>6</v>
      </c>
      <c r="H49" s="63">
        <f t="shared" si="3"/>
        <v>171</v>
      </c>
      <c r="I49" s="63" t="str">
        <f t="shared" si="4"/>
        <v>Stable</v>
      </c>
      <c r="J49" s="66">
        <f t="shared" si="5"/>
        <v>4</v>
      </c>
      <c r="K49" s="66">
        <f t="shared" si="6"/>
        <v>7</v>
      </c>
      <c r="L49" s="66">
        <f t="shared" si="7"/>
        <v>143</v>
      </c>
      <c r="M49" s="66" t="str">
        <f t="shared" si="8"/>
        <v>Stable</v>
      </c>
      <c r="N49" s="69">
        <f t="shared" si="13"/>
        <v>5</v>
      </c>
      <c r="O49" s="69">
        <f t="shared" si="10"/>
        <v>8</v>
      </c>
      <c r="P49" s="69">
        <f t="shared" si="11"/>
        <v>122</v>
      </c>
      <c r="Q49" s="69" t="str">
        <f t="shared" si="12"/>
        <v>Stable</v>
      </c>
    </row>
    <row r="50" spans="1:17">
      <c r="C50" s="3"/>
    </row>
    <row r="51" spans="1:17">
      <c r="C51" s="3"/>
      <c r="H51" t="s">
        <v>1553</v>
      </c>
      <c r="I51" s="63">
        <f>COUNTIF(I10:I49,"Danger")</f>
        <v>6</v>
      </c>
      <c r="L51" t="s">
        <v>1553</v>
      </c>
      <c r="M51" s="66">
        <f>COUNTIF(M10:M49,"Danger")</f>
        <v>7</v>
      </c>
      <c r="P51" t="s">
        <v>1553</v>
      </c>
      <c r="Q51" s="69">
        <f>COUNTIF(Q10:Q49,"Danger")</f>
        <v>8</v>
      </c>
    </row>
    <row r="52" spans="1:17">
      <c r="C52" s="3"/>
      <c r="H52" t="s">
        <v>1554</v>
      </c>
      <c r="I52" s="63">
        <f>COUNTIF(I10:I49,"Watch")</f>
        <v>1</v>
      </c>
      <c r="L52" t="s">
        <v>1554</v>
      </c>
      <c r="M52" s="66">
        <f>COUNTIF(M10:M49,"Watch")</f>
        <v>3</v>
      </c>
      <c r="P52" t="s">
        <v>1554</v>
      </c>
      <c r="Q52" s="69">
        <f>COUNTIF(Q10:Q49,"Watch")</f>
        <v>4</v>
      </c>
    </row>
    <row r="53" spans="1:17">
      <c r="C53" s="3"/>
      <c r="H53" t="s">
        <v>1555</v>
      </c>
      <c r="I53" s="63">
        <f>COUNTIF(I10:I49,"Stable")</f>
        <v>29</v>
      </c>
      <c r="L53" t="s">
        <v>1555</v>
      </c>
      <c r="M53" s="66">
        <f>COUNTIF(M10:M49,"Stable")</f>
        <v>26</v>
      </c>
      <c r="P53" t="s">
        <v>1555</v>
      </c>
      <c r="Q53" s="69">
        <f>COUNTIF(Q10:Q49,"Stable")</f>
        <v>24</v>
      </c>
    </row>
    <row r="54" spans="1:17">
      <c r="C54" s="3"/>
    </row>
    <row r="55" spans="1:17">
      <c r="C55" s="3"/>
    </row>
    <row r="56" spans="1:17">
      <c r="A56" s="74" t="s">
        <v>1556</v>
      </c>
      <c r="B56" s="74"/>
      <c r="C56" s="75"/>
    </row>
    <row r="57" spans="1:17">
      <c r="C57" s="3"/>
    </row>
    <row r="58" spans="1:17">
      <c r="A58" t="s">
        <v>1557</v>
      </c>
      <c r="C58" s="3"/>
    </row>
    <row r="59" spans="1:17">
      <c r="A59" t="s">
        <v>1472</v>
      </c>
      <c r="B59">
        <f>'Inventory Analysis'!F18</f>
        <v>0.14000000000000001</v>
      </c>
      <c r="C59" s="3"/>
    </row>
    <row r="60" spans="1:17">
      <c r="A60" s="70" t="s">
        <v>1537</v>
      </c>
      <c r="B60" s="3">
        <f>'Inventory Analysis'!E18</f>
        <v>6.435952734701039</v>
      </c>
      <c r="C60" s="3"/>
    </row>
    <row r="61" spans="1:17">
      <c r="A61" s="70" t="s">
        <v>1558</v>
      </c>
      <c r="B61">
        <v>1.65</v>
      </c>
      <c r="C61" s="3"/>
    </row>
    <row r="62" spans="1:17">
      <c r="A62" t="s">
        <v>1559</v>
      </c>
      <c r="B62">
        <v>14</v>
      </c>
      <c r="C62" s="3"/>
    </row>
    <row r="63" spans="1:17">
      <c r="C63" s="3"/>
    </row>
    <row r="64" spans="1:17" ht="28.5">
      <c r="A64" s="18" t="s">
        <v>1561</v>
      </c>
      <c r="B64" s="35">
        <f>ROUND((B59*B62)+(1.65*B60*SQRT(B62/30)),0)</f>
        <v>9</v>
      </c>
      <c r="C64" s="3"/>
    </row>
    <row r="65" spans="1:8">
      <c r="C65" s="3"/>
    </row>
    <row r="66" spans="1:8">
      <c r="C66" s="3"/>
    </row>
    <row r="67" spans="1:8">
      <c r="A67" s="71" t="s">
        <v>1560</v>
      </c>
      <c r="B67" s="72">
        <v>7</v>
      </c>
      <c r="C67" s="73">
        <v>10</v>
      </c>
      <c r="D67" s="72">
        <v>14</v>
      </c>
      <c r="E67" s="72">
        <v>21</v>
      </c>
      <c r="F67" s="72">
        <v>28</v>
      </c>
      <c r="G67" s="72">
        <v>35</v>
      </c>
      <c r="H67" s="72">
        <v>45</v>
      </c>
    </row>
    <row r="68" spans="1:8">
      <c r="A68" s="71" t="s">
        <v>1475</v>
      </c>
      <c r="B68">
        <f>B64</f>
        <v>9</v>
      </c>
      <c r="C68" s="3">
        <f t="dataTable" ref="C68:H68" dt2D="0" dtr="1" r1="B62"/>
        <v>8</v>
      </c>
      <c r="D68">
        <v>9</v>
      </c>
      <c r="E68">
        <v>12</v>
      </c>
      <c r="F68">
        <v>14</v>
      </c>
      <c r="G68">
        <v>16</v>
      </c>
      <c r="H68">
        <v>19</v>
      </c>
    </row>
    <row r="69" spans="1:8">
      <c r="C69" s="3"/>
    </row>
    <row r="70" spans="1:8">
      <c r="C70" s="3"/>
    </row>
    <row r="71" spans="1:8">
      <c r="C71" s="3"/>
    </row>
    <row r="72" spans="1:8">
      <c r="A72" s="74" t="s">
        <v>1562</v>
      </c>
      <c r="B72" s="74"/>
      <c r="C72" s="3"/>
    </row>
    <row r="73" spans="1:8">
      <c r="C73" s="3"/>
    </row>
    <row r="74" spans="1:8">
      <c r="C74" s="3"/>
    </row>
    <row r="75" spans="1:8">
      <c r="A75" s="72" t="s">
        <v>1563</v>
      </c>
      <c r="B75" s="72" t="s">
        <v>43</v>
      </c>
      <c r="C75" s="3"/>
    </row>
    <row r="76" spans="1:8">
      <c r="A76" s="72" t="s">
        <v>1472</v>
      </c>
      <c r="B76" s="72">
        <f>'Inventory Analysis'!F18</f>
        <v>0.14000000000000001</v>
      </c>
      <c r="C76" s="3"/>
    </row>
    <row r="77" spans="1:8">
      <c r="A77" s="72" t="s">
        <v>1537</v>
      </c>
      <c r="B77" s="76">
        <f>'Inventory Analysis'!E18</f>
        <v>6.435952734701039</v>
      </c>
      <c r="C77" s="3"/>
    </row>
    <row r="78" spans="1:8">
      <c r="A78" s="72" t="s">
        <v>1307</v>
      </c>
      <c r="B78" s="72">
        <f>'Inventory Analysis'!J18</f>
        <v>20</v>
      </c>
      <c r="C78" s="3"/>
    </row>
    <row r="79" spans="1:8">
      <c r="A79" s="72" t="s">
        <v>1558</v>
      </c>
      <c r="B79" s="72">
        <v>1.65</v>
      </c>
      <c r="C79" s="3"/>
    </row>
    <row r="80" spans="1:8">
      <c r="A80" s="72" t="s">
        <v>1560</v>
      </c>
      <c r="B80" s="72">
        <v>14</v>
      </c>
      <c r="C80" s="3"/>
    </row>
    <row r="81" spans="1:6">
      <c r="A81" s="72" t="s">
        <v>1564</v>
      </c>
      <c r="B81" s="72">
        <v>2</v>
      </c>
      <c r="C81" s="3"/>
    </row>
    <row r="82" spans="1:6">
      <c r="C82" s="3"/>
    </row>
    <row r="83" spans="1:6">
      <c r="C83" s="3"/>
    </row>
    <row r="84" spans="1:6">
      <c r="A84" s="77" t="s">
        <v>1565</v>
      </c>
      <c r="B84" s="77">
        <f>B76*B81</f>
        <v>0.28000000000000003</v>
      </c>
      <c r="C84" s="3"/>
    </row>
    <row r="85" spans="1:6">
      <c r="A85" s="77" t="s">
        <v>1566</v>
      </c>
      <c r="B85" s="77">
        <f>ROUND(B78/B84,0)</f>
        <v>71</v>
      </c>
      <c r="C85" s="3"/>
    </row>
    <row r="86" spans="1:6">
      <c r="A86" s="77" t="s">
        <v>1567</v>
      </c>
      <c r="B86" s="78">
        <f>ROUND((B84*B80)+(B79*B77*SQRT(B80/30)),0)</f>
        <v>11</v>
      </c>
      <c r="C86" s="3"/>
    </row>
    <row r="87" spans="1:6">
      <c r="A87" s="77" t="s">
        <v>1568</v>
      </c>
      <c r="B87" s="77">
        <f>ROUND((B79*B77*SQRT(B80/30))-(B79*B77*SQRT(B80/30)),0)</f>
        <v>0</v>
      </c>
      <c r="C87" s="3"/>
    </row>
    <row r="88" spans="1:6">
      <c r="C88" s="3"/>
    </row>
    <row r="89" spans="1:6">
      <c r="C89" s="3"/>
    </row>
    <row r="90" spans="1:6" ht="18">
      <c r="A90" s="79" t="s">
        <v>1569</v>
      </c>
      <c r="C90" s="3"/>
    </row>
    <row r="91" spans="1:6">
      <c r="C91" s="3"/>
    </row>
    <row r="92" spans="1:6">
      <c r="A92" s="80" t="s">
        <v>1269</v>
      </c>
      <c r="B92" s="80" t="s">
        <v>1472</v>
      </c>
      <c r="C92" s="80" t="s">
        <v>1511</v>
      </c>
      <c r="D92" s="80" t="s">
        <v>1572</v>
      </c>
      <c r="E92" s="81" t="s">
        <v>1570</v>
      </c>
      <c r="F92">
        <f>MEDIAN(B93:B132)</f>
        <v>0.17</v>
      </c>
    </row>
    <row r="93" spans="1:6">
      <c r="A93" t="str" cm="1">
        <f t="array" ref="A93:A132">'Financial Analysis'!A2:A41</f>
        <v>PRD-001</v>
      </c>
      <c r="B93">
        <f>_xlfn.XLOOKUP(A93,'Inventory Analysis'!A2:A41,'Inventory Analysis'!F2:F41)</f>
        <v>0.12</v>
      </c>
      <c r="C93" s="34">
        <f>_xlfn.XLOOKUP(A93,'Financial Analysis'!A2:A41,'Financial Analysis'!H2:H41)</f>
        <v>0.55952380952380953</v>
      </c>
      <c r="D93" t="str">
        <f>IF(AND(B93&gt;$F$92,C93&gt;$F$93),"STAR",IF(AND(B93&gt;$F$92,C93&lt;=$F$93),"VOLUME DRIVER",IF(AND(B93&lt;=$F$92,C93&gt;$F$93),"SLEEPER","DEAD WEIGHT")))</f>
        <v>SLEEPER</v>
      </c>
      <c r="E93" s="81" t="s">
        <v>1571</v>
      </c>
      <c r="F93" s="60">
        <f>MEDIAN(C93:C132)</f>
        <v>0.55942292171105734</v>
      </c>
    </row>
    <row r="94" spans="1:6">
      <c r="A94" t="str">
        <v>PRD-002</v>
      </c>
      <c r="B94">
        <f>_xlfn.XLOOKUP(A94,'Inventory Analysis'!A3:A42,'Inventory Analysis'!F3:F42)</f>
        <v>0.19</v>
      </c>
      <c r="C94" s="34">
        <f>_xlfn.XLOOKUP(A94,'Financial Analysis'!A3:A42,'Financial Analysis'!H3:H42)</f>
        <v>0.55952380952380953</v>
      </c>
      <c r="D94" t="str">
        <f>IF(AND(B94&gt;$F$92,C94&gt;$F$93),"STAR",IF(AND(B94&gt;$F$92,C94&lt;=$F$93),"VOLUME DRIVER",IF(AND(B94&lt;=$F$92,C94&gt;$F$93),"SLEEPER","DEAD WEIGHT")))</f>
        <v>STAR</v>
      </c>
    </row>
    <row r="95" spans="1:6">
      <c r="A95" t="str">
        <v>PRD-003</v>
      </c>
      <c r="B95">
        <f>_xlfn.XLOOKUP(A95,'Inventory Analysis'!A4:A43,'Inventory Analysis'!F4:F43)</f>
        <v>0.19</v>
      </c>
      <c r="C95" s="34">
        <f>_xlfn.XLOOKUP(A95,'Financial Analysis'!A4:A43,'Financial Analysis'!H4:H43)</f>
        <v>0.55952380952380953</v>
      </c>
      <c r="D95" t="str">
        <f t="shared" ref="D94:D132" si="14">IF(AND(B95&gt;$F$92,C95&gt;$F$93),"STAR",IF(AND(B95&gt;$F$92,C95&lt;=$F$93),"VOLUME DRIVER",IF(AND(B95&lt;=$F$92,C95&gt;$F$93),"SLEEPER","DEAD WEIGHT")))</f>
        <v>STAR</v>
      </c>
    </row>
    <row r="96" spans="1:6">
      <c r="A96" t="str">
        <v>PRD-004</v>
      </c>
      <c r="B96">
        <f>_xlfn.XLOOKUP(A96,'Inventory Analysis'!A5:A44,'Inventory Analysis'!F5:F44)</f>
        <v>0.19</v>
      </c>
      <c r="C96" s="34">
        <f>_xlfn.XLOOKUP(A96,'Financial Analysis'!A5:A44,'Financial Analysis'!H5:H44)</f>
        <v>0.56818181818181823</v>
      </c>
      <c r="D96" t="str">
        <f t="shared" si="14"/>
        <v>STAR</v>
      </c>
    </row>
    <row r="97" spans="1:4">
      <c r="A97" t="str">
        <v>PRD-005</v>
      </c>
      <c r="B97">
        <f>_xlfn.XLOOKUP(A97,'Inventory Analysis'!A6:A45,'Inventory Analysis'!F6:F45)</f>
        <v>0.23</v>
      </c>
      <c r="C97" s="34">
        <f>_xlfn.XLOOKUP(A97,'Financial Analysis'!A6:A45,'Financial Analysis'!H6:H45)</f>
        <v>0.56818181818181823</v>
      </c>
      <c r="D97" t="str">
        <f t="shared" si="14"/>
        <v>STAR</v>
      </c>
    </row>
    <row r="98" spans="1:4">
      <c r="A98" t="str">
        <v>PRD-006</v>
      </c>
      <c r="B98">
        <f>_xlfn.XLOOKUP(A98,'Inventory Analysis'!A7:A46,'Inventory Analysis'!F7:F46)</f>
        <v>0.16</v>
      </c>
      <c r="C98" s="34">
        <f>_xlfn.XLOOKUP(A98,'Financial Analysis'!A7:A46,'Financial Analysis'!H7:H46)</f>
        <v>0.56818181818181823</v>
      </c>
      <c r="D98" t="str">
        <f t="shared" si="14"/>
        <v>SLEEPER</v>
      </c>
    </row>
    <row r="99" spans="1:4">
      <c r="A99" t="str">
        <v>PRD-007</v>
      </c>
      <c r="B99">
        <f>_xlfn.XLOOKUP(A99,'Inventory Analysis'!A8:A47,'Inventory Analysis'!F8:F47)</f>
        <v>0.18</v>
      </c>
      <c r="C99" s="34">
        <f>_xlfn.XLOOKUP(A99,'Financial Analysis'!A8:A47,'Financial Analysis'!H8:H47)</f>
        <v>0.55813953488372092</v>
      </c>
      <c r="D99" t="str">
        <f t="shared" si="14"/>
        <v>VOLUME DRIVER</v>
      </c>
    </row>
    <row r="100" spans="1:4">
      <c r="A100" t="str">
        <v>PRD-008</v>
      </c>
      <c r="B100">
        <f>_xlfn.XLOOKUP(A100,'Inventory Analysis'!A9:A48,'Inventory Analysis'!F9:F48)</f>
        <v>0.22</v>
      </c>
      <c r="C100" s="34">
        <f>_xlfn.XLOOKUP(A100,'Financial Analysis'!A9:A48,'Financial Analysis'!H9:H48)</f>
        <v>0.55813953488372092</v>
      </c>
      <c r="D100" t="str">
        <f t="shared" si="14"/>
        <v>VOLUME DRIVER</v>
      </c>
    </row>
    <row r="101" spans="1:4">
      <c r="A101" t="str">
        <v>PRD-009</v>
      </c>
      <c r="B101">
        <f>_xlfn.XLOOKUP(A101,'Inventory Analysis'!A10:A49,'Inventory Analysis'!F10:F49)</f>
        <v>0.22</v>
      </c>
      <c r="C101" s="34">
        <f>_xlfn.XLOOKUP(A101,'Financial Analysis'!A10:A49,'Financial Analysis'!H10:H49)</f>
        <v>0.54761904761904767</v>
      </c>
      <c r="D101" t="str">
        <f t="shared" si="14"/>
        <v>VOLUME DRIVER</v>
      </c>
    </row>
    <row r="102" spans="1:4">
      <c r="A102" t="str">
        <v>PRD-010</v>
      </c>
      <c r="B102">
        <f>_xlfn.XLOOKUP(A102,'Inventory Analysis'!A11:A50,'Inventory Analysis'!F11:F50)</f>
        <v>0.12</v>
      </c>
      <c r="C102" s="34">
        <f>_xlfn.XLOOKUP(A102,'Financial Analysis'!A11:A50,'Financial Analysis'!H11:H50)</f>
        <v>0.54761904761904767</v>
      </c>
      <c r="D102" t="str">
        <f t="shared" si="14"/>
        <v>DEAD WEIGHT</v>
      </c>
    </row>
    <row r="103" spans="1:4">
      <c r="A103" t="str">
        <v>PRD-011</v>
      </c>
      <c r="B103">
        <f>_xlfn.XLOOKUP(A103,'Inventory Analysis'!A12:A51,'Inventory Analysis'!F12:F51)</f>
        <v>0.13</v>
      </c>
      <c r="C103" s="34">
        <f>_xlfn.XLOOKUP(A103,'Financial Analysis'!A12:A51,'Financial Analysis'!H12:H51)</f>
        <v>0.5625</v>
      </c>
      <c r="D103" t="str">
        <f t="shared" si="14"/>
        <v>SLEEPER</v>
      </c>
    </row>
    <row r="104" spans="1:4">
      <c r="A104" t="str">
        <v>PRD-012</v>
      </c>
      <c r="B104">
        <f>_xlfn.XLOOKUP(A104,'Inventory Analysis'!A13:A52,'Inventory Analysis'!F13:F52)</f>
        <v>0.14000000000000001</v>
      </c>
      <c r="C104" s="34">
        <f>_xlfn.XLOOKUP(A104,'Financial Analysis'!A13:A52,'Financial Analysis'!H13:H52)</f>
        <v>0.5625</v>
      </c>
      <c r="D104" t="str">
        <f t="shared" si="14"/>
        <v>SLEEPER</v>
      </c>
    </row>
    <row r="105" spans="1:4">
      <c r="A105" t="str">
        <v>PRD-013</v>
      </c>
      <c r="B105">
        <f>_xlfn.XLOOKUP(A105,'Inventory Analysis'!A14:A53,'Inventory Analysis'!F14:F53)</f>
        <v>0.17</v>
      </c>
      <c r="C105" s="34">
        <f>_xlfn.XLOOKUP(A105,'Financial Analysis'!A14:A53,'Financial Analysis'!H14:H53)</f>
        <v>0.5714285714285714</v>
      </c>
      <c r="D105" t="str">
        <f t="shared" si="14"/>
        <v>SLEEPER</v>
      </c>
    </row>
    <row r="106" spans="1:4">
      <c r="A106" t="str">
        <v>PRD-014</v>
      </c>
      <c r="B106">
        <f>_xlfn.XLOOKUP(A106,'Inventory Analysis'!A15:A54,'Inventory Analysis'!F15:F54)</f>
        <v>0.18</v>
      </c>
      <c r="C106" s="34">
        <f>_xlfn.XLOOKUP(A106,'Financial Analysis'!A15:A54,'Financial Analysis'!H15:H54)</f>
        <v>0.57692307692307687</v>
      </c>
      <c r="D106" t="str">
        <f t="shared" si="14"/>
        <v>STAR</v>
      </c>
    </row>
    <row r="107" spans="1:4">
      <c r="A107" t="str">
        <v>PRD-015</v>
      </c>
      <c r="B107">
        <f>_xlfn.XLOOKUP(A107,'Inventory Analysis'!A16:A55,'Inventory Analysis'!F16:F55)</f>
        <v>0.14000000000000001</v>
      </c>
      <c r="C107" s="34">
        <f>_xlfn.XLOOKUP(A107,'Financial Analysis'!A16:A55,'Financial Analysis'!H16:H55)</f>
        <v>0.57692307692307687</v>
      </c>
      <c r="D107" t="str">
        <f t="shared" si="14"/>
        <v>SLEEPER</v>
      </c>
    </row>
    <row r="108" spans="1:4">
      <c r="A108" t="str">
        <v>PRD-016</v>
      </c>
      <c r="B108">
        <f>_xlfn.XLOOKUP(A108,'Inventory Analysis'!A17:A56,'Inventory Analysis'!F17:F56)</f>
        <v>0.11</v>
      </c>
      <c r="C108" s="34">
        <f>_xlfn.XLOOKUP(A108,'Financial Analysis'!A17:A56,'Financial Analysis'!H17:H56)</f>
        <v>0.55319148936170215</v>
      </c>
      <c r="D108" t="str">
        <f t="shared" si="14"/>
        <v>DEAD WEIGHT</v>
      </c>
    </row>
    <row r="109" spans="1:4">
      <c r="A109" t="str">
        <v>PRD-017</v>
      </c>
      <c r="B109">
        <f>_xlfn.XLOOKUP(A109,'Inventory Analysis'!A18:A57,'Inventory Analysis'!F18:F57)</f>
        <v>0.14000000000000001</v>
      </c>
      <c r="C109" s="34">
        <f>_xlfn.XLOOKUP(A109,'Financial Analysis'!A18:A57,'Financial Analysis'!H18:H57)</f>
        <v>0.55319148936170215</v>
      </c>
      <c r="D109" t="str">
        <f t="shared" si="14"/>
        <v>DEAD WEIGHT</v>
      </c>
    </row>
    <row r="110" spans="1:4">
      <c r="A110" t="str">
        <v>PRD-018</v>
      </c>
      <c r="B110">
        <f>_xlfn.XLOOKUP(A110,'Inventory Analysis'!A19:A58,'Inventory Analysis'!F19:F58)</f>
        <v>0.19</v>
      </c>
      <c r="C110" s="34">
        <f>_xlfn.XLOOKUP(A110,'Financial Analysis'!A19:A58,'Financial Analysis'!H19:H58)</f>
        <v>0.5641025641025641</v>
      </c>
      <c r="D110" t="str">
        <f t="shared" si="14"/>
        <v>STAR</v>
      </c>
    </row>
    <row r="111" spans="1:4">
      <c r="A111" t="str">
        <v>PRD-019</v>
      </c>
      <c r="B111">
        <f>_xlfn.XLOOKUP(A111,'Inventory Analysis'!A20:A59,'Inventory Analysis'!F20:F59)</f>
        <v>0.16</v>
      </c>
      <c r="C111" s="34">
        <f>_xlfn.XLOOKUP(A111,'Financial Analysis'!A20:A59,'Financial Analysis'!H20:H59)</f>
        <v>0.5641025641025641</v>
      </c>
      <c r="D111" t="str">
        <f t="shared" si="14"/>
        <v>SLEEPER</v>
      </c>
    </row>
    <row r="112" spans="1:4">
      <c r="A112" t="str">
        <v>PRD-020</v>
      </c>
      <c r="B112">
        <f>_xlfn.XLOOKUP(A112,'Inventory Analysis'!A21:A60,'Inventory Analysis'!F21:F60)</f>
        <v>0.15</v>
      </c>
      <c r="C112" s="34">
        <f>_xlfn.XLOOKUP(A112,'Financial Analysis'!A21:A60,'Financial Analysis'!H21:H60)</f>
        <v>0.55555555555555558</v>
      </c>
      <c r="D112" t="str">
        <f t="shared" si="14"/>
        <v>DEAD WEIGHT</v>
      </c>
    </row>
    <row r="113" spans="1:4">
      <c r="A113" t="str">
        <v>PRD-021</v>
      </c>
      <c r="B113">
        <f>_xlfn.XLOOKUP(A113,'Inventory Analysis'!A22:A61,'Inventory Analysis'!F22:F61)</f>
        <v>0.19</v>
      </c>
      <c r="C113" s="34">
        <f>_xlfn.XLOOKUP(A113,'Financial Analysis'!A22:A61,'Financial Analysis'!H22:H61)</f>
        <v>0.55813953488372092</v>
      </c>
      <c r="D113" t="str">
        <f t="shared" si="14"/>
        <v>VOLUME DRIVER</v>
      </c>
    </row>
    <row r="114" spans="1:4">
      <c r="A114" t="str">
        <v>PRD-022</v>
      </c>
      <c r="B114">
        <f>_xlfn.XLOOKUP(A114,'Inventory Analysis'!A23:A62,'Inventory Analysis'!F23:F62)</f>
        <v>0.17</v>
      </c>
      <c r="C114" s="34">
        <f>_xlfn.XLOOKUP(A114,'Financial Analysis'!A23:A62,'Financial Analysis'!H23:H62)</f>
        <v>0.55813953488372092</v>
      </c>
      <c r="D114" t="str">
        <f t="shared" si="14"/>
        <v>DEAD WEIGHT</v>
      </c>
    </row>
    <row r="115" spans="1:4">
      <c r="A115" t="str">
        <v>PRD-023</v>
      </c>
      <c r="B115">
        <f>_xlfn.XLOOKUP(A115,'Inventory Analysis'!A24:A63,'Inventory Analysis'!F24:F63)</f>
        <v>0.14000000000000001</v>
      </c>
      <c r="C115" s="34">
        <f>_xlfn.XLOOKUP(A115,'Financial Analysis'!A24:A63,'Financial Analysis'!H24:H63)</f>
        <v>0.55681818181818177</v>
      </c>
      <c r="D115" t="str">
        <f t="shared" si="14"/>
        <v>DEAD WEIGHT</v>
      </c>
    </row>
    <row r="116" spans="1:4">
      <c r="A116" t="str">
        <v>PRD-024</v>
      </c>
      <c r="B116">
        <f>_xlfn.XLOOKUP(A116,'Inventory Analysis'!A25:A64,'Inventory Analysis'!F25:F64)</f>
        <v>0.26</v>
      </c>
      <c r="C116" s="34">
        <f>_xlfn.XLOOKUP(A116,'Financial Analysis'!A25:A64,'Financial Analysis'!H25:H64)</f>
        <v>0.55681818181818177</v>
      </c>
      <c r="D116" t="str">
        <f t="shared" si="14"/>
        <v>VOLUME DRIVER</v>
      </c>
    </row>
    <row r="117" spans="1:4">
      <c r="A117" t="str">
        <v>PRD-025</v>
      </c>
      <c r="B117">
        <f>_xlfn.XLOOKUP(A117,'Inventory Analysis'!A26:A65,'Inventory Analysis'!F26:F65)</f>
        <v>0.17</v>
      </c>
      <c r="C117" s="34">
        <f>_xlfn.XLOOKUP(A117,'Financial Analysis'!A26:A65,'Financial Analysis'!H26:H65)</f>
        <v>0.55882352941176472</v>
      </c>
      <c r="D117" t="str">
        <f t="shared" si="14"/>
        <v>DEAD WEIGHT</v>
      </c>
    </row>
    <row r="118" spans="1:4">
      <c r="A118" t="str">
        <v>PRD-026</v>
      </c>
      <c r="B118">
        <f>_xlfn.XLOOKUP(A118,'Inventory Analysis'!A27:A66,'Inventory Analysis'!F27:F66)</f>
        <v>0.15</v>
      </c>
      <c r="C118" s="34">
        <f>_xlfn.XLOOKUP(A118,'Financial Analysis'!A27:A66,'Financial Analysis'!H27:H66)</f>
        <v>0.55882352941176472</v>
      </c>
      <c r="D118" t="str">
        <f t="shared" si="14"/>
        <v>DEAD WEIGHT</v>
      </c>
    </row>
    <row r="119" spans="1:4">
      <c r="A119" t="str">
        <v>PRD-027</v>
      </c>
      <c r="B119">
        <f>_xlfn.XLOOKUP(A119,'Inventory Analysis'!A28:A67,'Inventory Analysis'!F28:F67)</f>
        <v>0.16</v>
      </c>
      <c r="C119" s="34">
        <f>_xlfn.XLOOKUP(A119,'Financial Analysis'!A28:A67,'Financial Analysis'!H28:H67)</f>
        <v>0.55932203389830504</v>
      </c>
      <c r="D119" t="str">
        <f t="shared" si="14"/>
        <v>DEAD WEIGHT</v>
      </c>
    </row>
    <row r="120" spans="1:4">
      <c r="A120" t="str">
        <v>PRD-028</v>
      </c>
      <c r="B120">
        <f>_xlfn.XLOOKUP(A120,'Inventory Analysis'!A29:A68,'Inventory Analysis'!F29:F68)</f>
        <v>0.13</v>
      </c>
      <c r="C120" s="34">
        <f>_xlfn.XLOOKUP(A120,'Financial Analysis'!A29:A68,'Financial Analysis'!H29:H68)</f>
        <v>0.55932203389830504</v>
      </c>
      <c r="D120" t="str">
        <f t="shared" si="14"/>
        <v>DEAD WEIGHT</v>
      </c>
    </row>
    <row r="121" spans="1:4">
      <c r="A121" t="str">
        <v>PRD-029</v>
      </c>
      <c r="B121">
        <f>_xlfn.XLOOKUP(A121,'Inventory Analysis'!A30:A69,'Inventory Analysis'!F30:F69)</f>
        <v>0.18</v>
      </c>
      <c r="C121" s="34">
        <f>_xlfn.XLOOKUP(A121,'Financial Analysis'!A30:A69,'Financial Analysis'!H30:H69)</f>
        <v>0.56060606060606055</v>
      </c>
      <c r="D121" t="str">
        <f t="shared" si="14"/>
        <v>STAR</v>
      </c>
    </row>
    <row r="122" spans="1:4">
      <c r="A122" t="str">
        <v>PRD-030</v>
      </c>
      <c r="B122">
        <f>_xlfn.XLOOKUP(A122,'Inventory Analysis'!A31:A70,'Inventory Analysis'!F31:F70)</f>
        <v>0.18</v>
      </c>
      <c r="C122" s="34">
        <f>_xlfn.XLOOKUP(A122,'Financial Analysis'!A31:A70,'Financial Analysis'!H31:H70)</f>
        <v>0.56716417910447758</v>
      </c>
      <c r="D122" t="str">
        <f t="shared" si="14"/>
        <v>STAR</v>
      </c>
    </row>
    <row r="123" spans="1:4">
      <c r="A123" t="str">
        <v>PRD-031</v>
      </c>
      <c r="B123">
        <f>_xlfn.XLOOKUP(A123,'Inventory Analysis'!A32:A71,'Inventory Analysis'!F32:F71)</f>
        <v>0.22</v>
      </c>
      <c r="C123" s="34">
        <f>_xlfn.XLOOKUP(A123,'Financial Analysis'!A32:A71,'Financial Analysis'!H32:H71)</f>
        <v>0.55696202531645567</v>
      </c>
      <c r="D123" t="str">
        <f t="shared" si="14"/>
        <v>VOLUME DRIVER</v>
      </c>
    </row>
    <row r="124" spans="1:4">
      <c r="A124" t="str">
        <v>PRD-032</v>
      </c>
      <c r="B124">
        <f>_xlfn.XLOOKUP(A124,'Inventory Analysis'!A33:A72,'Inventory Analysis'!F33:F72)</f>
        <v>0.15</v>
      </c>
      <c r="C124" s="34">
        <f>_xlfn.XLOOKUP(A124,'Financial Analysis'!A33:A72,'Financial Analysis'!H33:H72)</f>
        <v>0.55696202531645567</v>
      </c>
      <c r="D124" t="str">
        <f t="shared" si="14"/>
        <v>DEAD WEIGHT</v>
      </c>
    </row>
    <row r="125" spans="1:4">
      <c r="A125" t="str">
        <v>PRD-033</v>
      </c>
      <c r="B125">
        <f>_xlfn.XLOOKUP(A125,'Inventory Analysis'!A34:A73,'Inventory Analysis'!F34:F73)</f>
        <v>0.17</v>
      </c>
      <c r="C125" s="34">
        <f>_xlfn.XLOOKUP(A125,'Financial Analysis'!A34:A73,'Financial Analysis'!H34:H73)</f>
        <v>0.50943396226415094</v>
      </c>
      <c r="D125" t="str">
        <f t="shared" si="14"/>
        <v>DEAD WEIGHT</v>
      </c>
    </row>
    <row r="126" spans="1:4">
      <c r="A126" t="str">
        <v>PRD-034</v>
      </c>
      <c r="B126">
        <f>_xlfn.XLOOKUP(A126,'Inventory Analysis'!A35:A74,'Inventory Analysis'!F35:F74)</f>
        <v>0.17</v>
      </c>
      <c r="C126" s="34">
        <f>_xlfn.XLOOKUP(A126,'Financial Analysis'!A35:A74,'Financial Analysis'!H35:H74)</f>
        <v>0.56140350877192979</v>
      </c>
      <c r="D126" t="str">
        <f t="shared" si="14"/>
        <v>SLEEPER</v>
      </c>
    </row>
    <row r="127" spans="1:4">
      <c r="A127" t="str">
        <v>PRD-035</v>
      </c>
      <c r="B127">
        <f>_xlfn.XLOOKUP(A127,'Inventory Analysis'!A36:A75,'Inventory Analysis'!F36:F75)</f>
        <v>0.18</v>
      </c>
      <c r="C127" s="34">
        <f>_xlfn.XLOOKUP(A127,'Financial Analysis'!A36:A75,'Financial Analysis'!H36:H75)</f>
        <v>0.5714285714285714</v>
      </c>
      <c r="D127" t="str">
        <f t="shared" si="14"/>
        <v>STAR</v>
      </c>
    </row>
    <row r="128" spans="1:4">
      <c r="A128" t="str">
        <v>PRD-036</v>
      </c>
      <c r="B128">
        <f>_xlfn.XLOOKUP(A128,'Inventory Analysis'!A37:A76,'Inventory Analysis'!F37:F76)</f>
        <v>0.18</v>
      </c>
      <c r="C128" s="34">
        <f>_xlfn.XLOOKUP(A128,'Financial Analysis'!A37:A76,'Financial Analysis'!H37:H76)</f>
        <v>0.5714285714285714</v>
      </c>
      <c r="D128" t="str">
        <f t="shared" si="14"/>
        <v>STAR</v>
      </c>
    </row>
    <row r="129" spans="1:4">
      <c r="A129" t="str">
        <v>PRD-037</v>
      </c>
      <c r="B129">
        <f>_xlfn.XLOOKUP(A129,'Inventory Analysis'!A38:A77,'Inventory Analysis'!F38:F77)</f>
        <v>0.22</v>
      </c>
      <c r="C129" s="34">
        <f>_xlfn.XLOOKUP(A129,'Financial Analysis'!A38:A77,'Financial Analysis'!H38:H77)</f>
        <v>0.5714285714285714</v>
      </c>
      <c r="D129" t="str">
        <f t="shared" si="14"/>
        <v>STAR</v>
      </c>
    </row>
    <row r="130" spans="1:4">
      <c r="A130" t="str">
        <v>PRD-038</v>
      </c>
      <c r="B130">
        <f>_xlfn.XLOOKUP(A130,'Inventory Analysis'!A39:A78,'Inventory Analysis'!F39:F78)</f>
        <v>0.12</v>
      </c>
      <c r="C130" s="34">
        <f>_xlfn.XLOOKUP(A130,'Financial Analysis'!A39:A78,'Financial Analysis'!H39:H78)</f>
        <v>0.55737704918032782</v>
      </c>
      <c r="D130" t="str">
        <f t="shared" si="14"/>
        <v>DEAD WEIGHT</v>
      </c>
    </row>
    <row r="131" spans="1:4">
      <c r="A131" t="str">
        <v>PRD-039</v>
      </c>
      <c r="B131">
        <f>_xlfn.XLOOKUP(A131,'Inventory Analysis'!A40:A79,'Inventory Analysis'!F40:F79)</f>
        <v>0.16</v>
      </c>
      <c r="C131" s="34">
        <f>_xlfn.XLOOKUP(A131,'Financial Analysis'!A40:A79,'Financial Analysis'!H40:H79)</f>
        <v>0.54117647058823526</v>
      </c>
      <c r="D131" t="str">
        <f t="shared" si="14"/>
        <v>DEAD WEIGHT</v>
      </c>
    </row>
    <row r="132" spans="1:4">
      <c r="A132" t="str">
        <v>PRD-040</v>
      </c>
      <c r="B132">
        <f>_xlfn.XLOOKUP(A132,'Inventory Analysis'!A41:A80,'Inventory Analysis'!F41:F80)</f>
        <v>0.14000000000000001</v>
      </c>
      <c r="C132" s="34">
        <f>_xlfn.XLOOKUP(A132,'Financial Analysis'!A41:A80,'Financial Analysis'!H41:H80)</f>
        <v>0.56043956043956045</v>
      </c>
      <c r="D132" t="str">
        <f t="shared" si="14"/>
        <v>SLEEPER</v>
      </c>
    </row>
  </sheetData>
  <autoFilter ref="A9:J49" xr:uid="{044854CB-DAA7-441D-998D-33D5E67DF594}">
    <filterColumn colId="8">
      <filters>
        <filter val="Danger"/>
      </filters>
    </filterColumn>
  </autoFilter>
  <mergeCells count="3">
    <mergeCell ref="F8:I8"/>
    <mergeCell ref="J8:M8"/>
    <mergeCell ref="N8:Q8"/>
  </mergeCells>
  <conditionalFormatting sqref="D93:D132">
    <cfRule type="containsText" dxfId="6" priority="1" operator="containsText" text="DEAD WEIGHT">
      <formula>NOT(ISERROR(SEARCH("DEAD WEIGHT",D93)))</formula>
    </cfRule>
    <cfRule type="containsText" priority="2" operator="containsText" text="DEAD WEIGHT">
      <formula>NOT(ISERROR(SEARCH("DEAD WEIGHT",D93)))</formula>
    </cfRule>
    <cfRule type="containsText" dxfId="5" priority="3" operator="containsText" text="SLEEPER">
      <formula>NOT(ISERROR(SEARCH("SLEEPER",D93)))</formula>
    </cfRule>
    <cfRule type="containsText" dxfId="4" priority="4" operator="containsText" text="VOLUME DRIVER">
      <formula>NOT(ISERROR(SEARCH("VOLUME DRIVER",D93)))</formula>
    </cfRule>
    <cfRule type="containsText" dxfId="3" priority="5" operator="containsText" text="STAR">
      <formula>NOT(ISERROR(SEARCH("STAR",D93)))</formula>
    </cfRule>
    <cfRule type="expression" dxfId="2" priority="6">
      <formula>"STAR"</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9B95-C260-44BC-83B8-F49A578475AE}">
  <dimension ref="A1:K25"/>
  <sheetViews>
    <sheetView showGridLines="0" topLeftCell="A2" zoomScaleNormal="100" workbookViewId="0">
      <selection activeCell="J31" sqref="J31"/>
    </sheetView>
  </sheetViews>
  <sheetFormatPr defaultRowHeight="14.25"/>
  <cols>
    <col min="1" max="1" width="15.46484375" customWidth="1"/>
    <col min="2" max="2" width="18.265625" customWidth="1"/>
    <col min="3" max="3" width="15.33203125" customWidth="1"/>
    <col min="4" max="4" width="16.265625" customWidth="1"/>
    <col min="5" max="5" width="15.265625" customWidth="1"/>
    <col min="6" max="6" width="13.86328125" customWidth="1"/>
    <col min="7" max="7" width="10.3984375" customWidth="1"/>
    <col min="8" max="8" width="21.19921875" customWidth="1"/>
    <col min="9" max="9" width="10.1328125" customWidth="1"/>
    <col min="10" max="10" width="17.73046875" customWidth="1"/>
    <col min="11" max="11" width="14.9296875" customWidth="1"/>
    <col min="12" max="12" width="10.6640625" customWidth="1"/>
    <col min="13" max="13" width="15.19921875" customWidth="1"/>
  </cols>
  <sheetData>
    <row r="1" spans="1:11" ht="23.25">
      <c r="A1" s="93" t="s">
        <v>1589</v>
      </c>
      <c r="B1" s="94"/>
      <c r="C1" s="94"/>
      <c r="D1" s="94"/>
      <c r="E1" s="94"/>
      <c r="F1" s="94"/>
      <c r="G1" s="94"/>
      <c r="H1" s="94"/>
    </row>
    <row r="2" spans="1:11">
      <c r="A2" s="83" t="s">
        <v>1581</v>
      </c>
      <c r="B2" s="83"/>
      <c r="C2" s="83"/>
      <c r="D2" s="83"/>
      <c r="E2" s="83"/>
      <c r="F2" s="83"/>
      <c r="G2" s="83"/>
      <c r="H2" s="83"/>
    </row>
    <row r="3" spans="1:11">
      <c r="A3" t="s">
        <v>1575</v>
      </c>
      <c r="B3" s="95">
        <f ca="1">TODAY()</f>
        <v>46099</v>
      </c>
    </row>
    <row r="4" spans="1:11" ht="14.65" thickBot="1"/>
    <row r="5" spans="1:11">
      <c r="B5" s="98" t="s">
        <v>1582</v>
      </c>
      <c r="C5" s="96"/>
      <c r="D5" s="98" t="s">
        <v>1586</v>
      </c>
      <c r="E5" s="96"/>
      <c r="F5" s="98" t="s">
        <v>1583</v>
      </c>
      <c r="G5" s="96"/>
      <c r="H5" s="98" t="s">
        <v>1584</v>
      </c>
      <c r="I5" s="96"/>
      <c r="J5" s="98" t="s">
        <v>1585</v>
      </c>
    </row>
    <row r="6" spans="1:11" ht="21.4" thickBot="1">
      <c r="B6" s="99">
        <f>COUNTIF('Inventory Analysis'!M2:M41,"Reorder Now")</f>
        <v>6</v>
      </c>
      <c r="C6" s="97"/>
      <c r="D6" s="99">
        <f>COUNTIF('Advanced Analysis'!D93:D132,"DEAD WEIGHT")</f>
        <v>14</v>
      </c>
      <c r="E6" s="97"/>
      <c r="F6" s="99">
        <f>COUNTIF('Advanced Analysis'!D93:D132,"STAR")</f>
        <v>11</v>
      </c>
      <c r="G6" s="97"/>
      <c r="H6" s="99">
        <f>COUNTIF('Advanced Analysis'!I10:I49,"Danger")</f>
        <v>6</v>
      </c>
      <c r="I6" s="97"/>
      <c r="J6" s="99">
        <f>ROUND(AVERAGE('Inventory Analysis'!K2:K41),0)</f>
        <v>12</v>
      </c>
    </row>
    <row r="10" spans="1:11" ht="16.149999999999999" thickBot="1">
      <c r="A10" s="102" t="s">
        <v>1587</v>
      </c>
      <c r="B10" s="100"/>
      <c r="C10" s="100"/>
      <c r="D10" s="100"/>
      <c r="E10" s="100"/>
      <c r="F10" s="100"/>
    </row>
    <row r="11" spans="1:11">
      <c r="A11" s="104" t="s">
        <v>1269</v>
      </c>
      <c r="B11" s="105" t="s">
        <v>1470</v>
      </c>
      <c r="C11" s="105" t="s">
        <v>1307</v>
      </c>
      <c r="D11" s="105" t="s">
        <v>1475</v>
      </c>
      <c r="E11" s="105" t="s">
        <v>1476</v>
      </c>
      <c r="F11" s="106" t="s">
        <v>1477</v>
      </c>
      <c r="K11" s="6"/>
    </row>
    <row r="12" spans="1:11">
      <c r="A12" s="107" t="str">
        <f>'Inventory Analysis'!A2</f>
        <v>PRD-001</v>
      </c>
      <c r="B12" s="103" t="str">
        <f>'Inventory Analysis'!B2</f>
        <v>Beige Co-ord Set</v>
      </c>
      <c r="C12" s="103">
        <f>'Inventory Analysis'!J2</f>
        <v>3</v>
      </c>
      <c r="D12" s="103">
        <f>'Inventory Analysis'!H2</f>
        <v>3</v>
      </c>
      <c r="E12" s="103">
        <f>'Inventory Analysis'!K2</f>
        <v>8</v>
      </c>
      <c r="F12" s="108" t="str">
        <f>'Inventory Analysis'!M2</f>
        <v>Reorder Now</v>
      </c>
    </row>
    <row r="13" spans="1:11">
      <c r="A13" s="107" t="str">
        <f>'Inventory Analysis'!A4</f>
        <v>PRD-003</v>
      </c>
      <c r="B13" s="103" t="str">
        <f>'Inventory Analysis'!B4</f>
        <v>Beige Co-ord Set</v>
      </c>
      <c r="C13" s="103">
        <f>'Inventory Analysis'!J4</f>
        <v>4</v>
      </c>
      <c r="D13" s="103">
        <f>'Inventory Analysis'!H4</f>
        <v>4</v>
      </c>
      <c r="E13" s="103">
        <f>'Inventory Analysis'!K4</f>
        <v>10</v>
      </c>
      <c r="F13" s="108" t="str">
        <f>'Inventory Analysis'!M4</f>
        <v>Reorder Now</v>
      </c>
    </row>
    <row r="14" spans="1:11">
      <c r="A14" s="107" t="str">
        <f>'Inventory Analysis'!A10</f>
        <v>PRD-009</v>
      </c>
      <c r="B14" s="103" t="str">
        <f>'Inventory Analysis'!B10</f>
        <v>Red Sweatshirt</v>
      </c>
      <c r="C14" s="103">
        <f>'Inventory Analysis'!J10</f>
        <v>2</v>
      </c>
      <c r="D14" s="103">
        <f>'Inventory Analysis'!H10</f>
        <v>4</v>
      </c>
      <c r="E14" s="103">
        <f>'Inventory Analysis'!K10</f>
        <v>7</v>
      </c>
      <c r="F14" s="108" t="str">
        <f>'Inventory Analysis'!M10</f>
        <v>Reorder Now</v>
      </c>
    </row>
    <row r="15" spans="1:11">
      <c r="A15" s="107" t="str">
        <f>'Inventory Analysis'!A16</f>
        <v>PRD-015</v>
      </c>
      <c r="B15" s="103" t="str">
        <f>'Inventory Analysis'!B16</f>
        <v>Cable Knit Vest White</v>
      </c>
      <c r="C15" s="103">
        <f>'Inventory Analysis'!J16</f>
        <v>3</v>
      </c>
      <c r="D15" s="103">
        <f>'Inventory Analysis'!H16</f>
        <v>3</v>
      </c>
      <c r="E15" s="103">
        <f>'Inventory Analysis'!K16</f>
        <v>11</v>
      </c>
      <c r="F15" s="108" t="str">
        <f>'Inventory Analysis'!M16</f>
        <v>Reorder Now</v>
      </c>
    </row>
    <row r="16" spans="1:11">
      <c r="A16" s="107" t="str">
        <f>'Inventory Analysis'!A31</f>
        <v>PRD-030</v>
      </c>
      <c r="B16" s="103" t="str">
        <f>'Inventory Analysis'!B31</f>
        <v>Magenta Abaya Dress</v>
      </c>
      <c r="C16" s="103">
        <f>'Inventory Analysis'!J31</f>
        <v>5</v>
      </c>
      <c r="D16" s="103">
        <f>'Inventory Analysis'!H31</f>
        <v>5</v>
      </c>
      <c r="E16" s="103">
        <f>'Inventory Analysis'!K31</f>
        <v>19</v>
      </c>
      <c r="F16" s="108" t="str">
        <f>'Inventory Analysis'!M31</f>
        <v>Reorder Now</v>
      </c>
    </row>
    <row r="17" spans="1:10" ht="14.65" thickBot="1">
      <c r="A17" s="109" t="str">
        <f>'Inventory Analysis'!A39</f>
        <v>PRD-038</v>
      </c>
      <c r="B17" s="110" t="str">
        <f>'Inventory Analysis'!B39</f>
        <v>Grey Maxi Dress</v>
      </c>
      <c r="C17" s="110">
        <f>'Inventory Analysis'!J39</f>
        <v>3</v>
      </c>
      <c r="D17" s="110">
        <f>'Inventory Analysis'!H39</f>
        <v>3</v>
      </c>
      <c r="E17" s="110">
        <f>'Inventory Analysis'!K39</f>
        <v>10</v>
      </c>
      <c r="F17" s="111" t="str">
        <f>'Inventory Analysis'!M39</f>
        <v>Reorder Now</v>
      </c>
    </row>
    <row r="18" spans="1:10" ht="15.75">
      <c r="G18" s="124" t="s">
        <v>1588</v>
      </c>
      <c r="H18" s="124"/>
      <c r="I18" s="124"/>
      <c r="J18" s="124"/>
    </row>
    <row r="19" spans="1:10" ht="14.65" thickBot="1">
      <c r="G19" s="101" t="s">
        <v>1269</v>
      </c>
      <c r="H19" s="101" t="s">
        <v>1307</v>
      </c>
      <c r="I19" s="101" t="s">
        <v>1539</v>
      </c>
      <c r="J19" s="101" t="s">
        <v>1540</v>
      </c>
    </row>
    <row r="20" spans="1:10">
      <c r="G20" s="112" t="str">
        <f>'Advanced Analysis'!A10</f>
        <v>PRD-001</v>
      </c>
      <c r="H20" s="113">
        <f>'Advanced Analysis'!E10</f>
        <v>3</v>
      </c>
      <c r="I20" s="114">
        <f>'Advanced Analysis'!G10</f>
        <v>6</v>
      </c>
      <c r="J20" s="115" t="str">
        <f>'Advanced Analysis'!I10</f>
        <v>Danger</v>
      </c>
    </row>
    <row r="21" spans="1:10">
      <c r="G21" s="116" t="str">
        <f>'Advanced Analysis'!A12</f>
        <v>PRD-003</v>
      </c>
      <c r="H21" s="117">
        <f>'Advanced Analysis'!E12</f>
        <v>4</v>
      </c>
      <c r="I21" s="118">
        <f>'Advanced Analysis'!G12</f>
        <v>8</v>
      </c>
      <c r="J21" s="119" t="str">
        <f>'Advanced Analysis'!I12</f>
        <v>Danger</v>
      </c>
    </row>
    <row r="22" spans="1:10">
      <c r="G22" s="116" t="str">
        <f>'Advanced Analysis'!A18</f>
        <v>PRD-009</v>
      </c>
      <c r="H22" s="117">
        <f>'Advanced Analysis'!E18</f>
        <v>2</v>
      </c>
      <c r="I22" s="118">
        <f>'Advanced Analysis'!G18</f>
        <v>9</v>
      </c>
      <c r="J22" s="119" t="str">
        <f>'Advanced Analysis'!I18</f>
        <v>Danger</v>
      </c>
    </row>
    <row r="23" spans="1:10">
      <c r="G23" s="116" t="str">
        <f>'Advanced Analysis'!A24</f>
        <v>PRD-015</v>
      </c>
      <c r="H23" s="117">
        <f>'Advanced Analysis'!E24</f>
        <v>3</v>
      </c>
      <c r="I23" s="118">
        <f>'Advanced Analysis'!G24</f>
        <v>6</v>
      </c>
      <c r="J23" s="119" t="str">
        <f>'Advanced Analysis'!I24</f>
        <v>Danger</v>
      </c>
    </row>
    <row r="24" spans="1:10">
      <c r="G24" s="116" t="str">
        <f>'Advanced Analysis'!A39</f>
        <v>PRD-030</v>
      </c>
      <c r="H24" s="117">
        <f>'Advanced Analysis'!E39</f>
        <v>5</v>
      </c>
      <c r="I24" s="118">
        <f>'Advanced Analysis'!G39</f>
        <v>9</v>
      </c>
      <c r="J24" s="119" t="str">
        <f>'Advanced Analysis'!I39</f>
        <v>Danger</v>
      </c>
    </row>
    <row r="25" spans="1:10" ht="14.65" thickBot="1">
      <c r="G25" s="120" t="str">
        <f>'Advanced Analysis'!A47</f>
        <v>PRD-038</v>
      </c>
      <c r="H25" s="121">
        <f>'Advanced Analysis'!E47</f>
        <v>3</v>
      </c>
      <c r="I25" s="122">
        <f>'Advanced Analysis'!G47</f>
        <v>6</v>
      </c>
      <c r="J25" s="123" t="str">
        <f>'Advanced Analysis'!I47</f>
        <v>Danger</v>
      </c>
    </row>
  </sheetData>
  <mergeCells count="4">
    <mergeCell ref="A1:H1"/>
    <mergeCell ref="A2:H2"/>
    <mergeCell ref="A10:F10"/>
    <mergeCell ref="G18:J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4D66-3AB5-4911-A377-978A82344A7D}">
  <dimension ref="A1:J15"/>
  <sheetViews>
    <sheetView showGridLines="0" zoomScale="90" zoomScaleNormal="90" workbookViewId="0">
      <selection sqref="A1:H2"/>
    </sheetView>
  </sheetViews>
  <sheetFormatPr defaultRowHeight="14.25"/>
  <cols>
    <col min="1" max="1" width="10.73046875" customWidth="1"/>
    <col min="2" max="2" width="24.59765625" bestFit="1" customWidth="1"/>
    <col min="3" max="3" width="7.3984375" customWidth="1"/>
    <col min="4" max="4" width="15.86328125" customWidth="1"/>
    <col min="5" max="6" width="10.265625" customWidth="1"/>
    <col min="8" max="8" width="20" customWidth="1"/>
    <col min="9" max="9" width="8.53125" customWidth="1"/>
    <col min="10" max="10" width="14.6640625" customWidth="1"/>
  </cols>
  <sheetData>
    <row r="1" spans="1:10" ht="36.75" customHeight="1">
      <c r="A1" s="93" t="s">
        <v>1573</v>
      </c>
      <c r="B1" s="94"/>
      <c r="C1" s="94"/>
      <c r="D1" s="94"/>
      <c r="E1" s="94"/>
      <c r="F1" s="94"/>
      <c r="G1" s="94"/>
      <c r="H1" s="94"/>
    </row>
    <row r="2" spans="1:10">
      <c r="A2" s="83" t="s">
        <v>1574</v>
      </c>
      <c r="B2" s="83"/>
      <c r="C2" s="83"/>
      <c r="D2" s="83"/>
      <c r="E2" s="83"/>
      <c r="F2" s="83"/>
      <c r="G2" s="83"/>
      <c r="H2" s="83"/>
    </row>
    <row r="3" spans="1:10">
      <c r="A3" t="s">
        <v>1575</v>
      </c>
      <c r="B3" s="1">
        <f ca="1">TODAY()</f>
        <v>46099</v>
      </c>
    </row>
    <row r="5" spans="1:10" ht="14.65" thickBot="1"/>
    <row r="6" spans="1:10" s="16" customFormat="1">
      <c r="B6" s="87" t="s">
        <v>1580</v>
      </c>
      <c r="C6" s="86"/>
      <c r="D6" s="87" t="s">
        <v>1576</v>
      </c>
      <c r="E6" s="86"/>
      <c r="F6" s="87" t="s">
        <v>1577</v>
      </c>
      <c r="G6" s="86"/>
      <c r="H6" s="87" t="s">
        <v>1578</v>
      </c>
      <c r="I6" s="86"/>
      <c r="J6" s="87" t="s">
        <v>1579</v>
      </c>
    </row>
    <row r="7" spans="1:10" s="84" customFormat="1" ht="21.4" thickBot="1">
      <c r="B7" s="92">
        <f>SUM('Financial Analysis'!I2:I41)</f>
        <v>593714300</v>
      </c>
      <c r="C7" s="85"/>
      <c r="D7" s="88">
        <f>AVERAGE('Financial Analysis'!H2:H41)</f>
        <v>0.55967673879446367</v>
      </c>
      <c r="E7" s="85"/>
      <c r="F7" s="89">
        <f>COUNTA('Financial Analysis'!A2:A41)</f>
        <v>40</v>
      </c>
      <c r="G7" s="85"/>
      <c r="H7" s="90">
        <v>20</v>
      </c>
      <c r="I7" s="85"/>
      <c r="J7" s="91">
        <f>AVERAGE('Financial Analysis'!E2:E41)</f>
        <v>0.90629418473018963</v>
      </c>
    </row>
    <row r="15" spans="1:10">
      <c r="H15" s="82"/>
    </row>
  </sheetData>
  <mergeCells count="2">
    <mergeCell ref="A1:H1"/>
    <mergeCell ref="A2:H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0"/>
  <sheetViews>
    <sheetView zoomScaleNormal="100" workbookViewId="0">
      <pane ySplit="1" topLeftCell="A2" activePane="bottomLeft" state="frozen"/>
      <selection pane="bottomLeft" activeCell="K4" sqref="K4"/>
    </sheetView>
  </sheetViews>
  <sheetFormatPr defaultColWidth="8.6640625" defaultRowHeight="14.25"/>
  <cols>
    <col min="1" max="1" width="12" customWidth="1"/>
    <col min="2" max="2" width="14.53125" style="2" customWidth="1"/>
    <col min="3" max="3" width="24" customWidth="1"/>
    <col min="4" max="4" width="20.73046875" customWidth="1"/>
    <col min="5" max="5" width="15.53125" customWidth="1"/>
    <col min="6" max="6" width="10.6640625" customWidth="1"/>
    <col min="7" max="7" width="12.19921875" style="4" customWidth="1"/>
    <col min="8" max="8" width="16" customWidth="1"/>
    <col min="9" max="9" width="15.73046875" customWidth="1"/>
    <col min="11" max="11" width="13.19921875" style="14" bestFit="1" customWidth="1"/>
    <col min="22" max="22" width="6.796875" customWidth="1"/>
    <col min="27" max="27" width="8.53125" customWidth="1"/>
  </cols>
  <sheetData>
    <row r="1" spans="1:11" ht="21.75" customHeight="1">
      <c r="A1" t="s">
        <v>0</v>
      </c>
      <c r="B1" s="2" t="s">
        <v>1</v>
      </c>
      <c r="C1" t="s">
        <v>1269</v>
      </c>
      <c r="D1" t="s">
        <v>2</v>
      </c>
      <c r="E1" t="s">
        <v>3</v>
      </c>
      <c r="F1" t="s">
        <v>4</v>
      </c>
      <c r="G1" t="s">
        <v>5</v>
      </c>
      <c r="H1" t="s">
        <v>6</v>
      </c>
      <c r="I1" t="s">
        <v>7</v>
      </c>
      <c r="J1" t="s">
        <v>8</v>
      </c>
      <c r="K1" s="14" t="s">
        <v>1270</v>
      </c>
    </row>
    <row r="2" spans="1:11">
      <c r="A2" t="s">
        <v>9</v>
      </c>
      <c r="B2" s="2">
        <v>45068</v>
      </c>
      <c r="C2" t="s">
        <v>215</v>
      </c>
      <c r="D2" t="s">
        <v>10</v>
      </c>
      <c r="E2" t="s">
        <v>11</v>
      </c>
      <c r="F2" t="s">
        <v>12</v>
      </c>
      <c r="G2">
        <v>4</v>
      </c>
      <c r="H2">
        <v>420000</v>
      </c>
      <c r="I2">
        <v>10</v>
      </c>
      <c r="J2" t="s">
        <v>13</v>
      </c>
      <c r="K2" s="14">
        <f>G2*H2*(1-I2/100)</f>
        <v>1512000</v>
      </c>
    </row>
    <row r="3" spans="1:11">
      <c r="A3" t="s">
        <v>14</v>
      </c>
      <c r="B3" s="2">
        <v>45072</v>
      </c>
      <c r="C3" t="s">
        <v>15</v>
      </c>
      <c r="D3" t="s">
        <v>10</v>
      </c>
      <c r="E3" t="s">
        <v>11</v>
      </c>
      <c r="F3" t="s">
        <v>1268</v>
      </c>
      <c r="G3">
        <v>1</v>
      </c>
      <c r="H3">
        <v>420000</v>
      </c>
      <c r="I3">
        <v>0</v>
      </c>
      <c r="J3" t="s">
        <v>16</v>
      </c>
      <c r="K3" s="14">
        <f>G3*H3*(1-I3/100)</f>
        <v>420000</v>
      </c>
    </row>
    <row r="4" spans="1:11">
      <c r="A4" t="s">
        <v>17</v>
      </c>
      <c r="B4" s="2">
        <v>45248</v>
      </c>
      <c r="C4" t="s">
        <v>18</v>
      </c>
      <c r="D4" t="s">
        <v>19</v>
      </c>
      <c r="E4" t="s">
        <v>20</v>
      </c>
      <c r="F4" t="s">
        <v>12</v>
      </c>
      <c r="G4">
        <v>3</v>
      </c>
      <c r="H4">
        <v>265000</v>
      </c>
      <c r="I4">
        <v>0</v>
      </c>
      <c r="J4" t="s">
        <v>21</v>
      </c>
      <c r="K4" s="14">
        <f t="shared" ref="K3:K62" si="0">G4*H4*(1-I4/100)</f>
        <v>795000</v>
      </c>
    </row>
    <row r="5" spans="1:11">
      <c r="A5" t="s">
        <v>22</v>
      </c>
      <c r="B5" s="2">
        <v>45002</v>
      </c>
      <c r="C5" t="s">
        <v>23</v>
      </c>
      <c r="D5" t="s">
        <v>24</v>
      </c>
      <c r="E5" t="s">
        <v>25</v>
      </c>
      <c r="F5" t="s">
        <v>12</v>
      </c>
      <c r="G5">
        <v>1</v>
      </c>
      <c r="H5">
        <v>182000</v>
      </c>
      <c r="I5">
        <v>10</v>
      </c>
      <c r="J5" t="s">
        <v>16</v>
      </c>
      <c r="K5" s="14">
        <f t="shared" si="0"/>
        <v>163800</v>
      </c>
    </row>
    <row r="6" spans="1:11">
      <c r="A6" t="s">
        <v>26</v>
      </c>
      <c r="B6" s="2">
        <v>45062</v>
      </c>
      <c r="C6" t="s">
        <v>27</v>
      </c>
      <c r="D6" t="s">
        <v>28</v>
      </c>
      <c r="E6" t="s">
        <v>29</v>
      </c>
      <c r="F6" t="s">
        <v>12</v>
      </c>
      <c r="G6">
        <v>2</v>
      </c>
      <c r="H6">
        <v>210000</v>
      </c>
      <c r="I6">
        <v>0</v>
      </c>
      <c r="J6" t="s">
        <v>21</v>
      </c>
      <c r="K6" s="14">
        <f t="shared" si="0"/>
        <v>420000</v>
      </c>
    </row>
    <row r="7" spans="1:11">
      <c r="A7" t="s">
        <v>30</v>
      </c>
      <c r="B7" s="2">
        <v>45279</v>
      </c>
      <c r="C7" t="s">
        <v>31</v>
      </c>
      <c r="D7" t="s">
        <v>32</v>
      </c>
      <c r="E7" t="s">
        <v>29</v>
      </c>
      <c r="F7" t="s">
        <v>68</v>
      </c>
      <c r="G7">
        <v>-1</v>
      </c>
      <c r="H7">
        <v>215000</v>
      </c>
      <c r="I7">
        <v>10</v>
      </c>
      <c r="J7" t="s">
        <v>16</v>
      </c>
      <c r="K7" s="14">
        <f t="shared" si="0"/>
        <v>-193500</v>
      </c>
    </row>
    <row r="8" spans="1:11">
      <c r="A8" t="s">
        <v>33</v>
      </c>
      <c r="B8" s="2">
        <v>45064</v>
      </c>
      <c r="C8" t="s">
        <v>34</v>
      </c>
      <c r="D8" t="s">
        <v>35</v>
      </c>
      <c r="E8" t="s">
        <v>36</v>
      </c>
      <c r="F8" t="s">
        <v>12</v>
      </c>
      <c r="G8">
        <v>1</v>
      </c>
      <c r="H8">
        <v>198000</v>
      </c>
      <c r="I8">
        <v>0</v>
      </c>
      <c r="J8" t="s">
        <v>16</v>
      </c>
      <c r="K8" s="14">
        <f t="shared" si="0"/>
        <v>198000</v>
      </c>
    </row>
    <row r="9" spans="1:11">
      <c r="A9" t="s">
        <v>37</v>
      </c>
      <c r="B9" s="2">
        <v>45178</v>
      </c>
      <c r="C9" t="s">
        <v>38</v>
      </c>
      <c r="D9" t="s">
        <v>39</v>
      </c>
      <c r="E9" t="s">
        <v>40</v>
      </c>
      <c r="F9" t="s">
        <v>12</v>
      </c>
      <c r="G9">
        <v>1</v>
      </c>
      <c r="H9">
        <v>320000</v>
      </c>
      <c r="I9">
        <v>0</v>
      </c>
      <c r="J9" t="s">
        <v>41</v>
      </c>
      <c r="K9" s="14">
        <f t="shared" si="0"/>
        <v>320000</v>
      </c>
    </row>
    <row r="10" spans="1:11">
      <c r="A10" t="s">
        <v>42</v>
      </c>
      <c r="B10" s="2">
        <v>45129</v>
      </c>
      <c r="C10" t="s">
        <v>43</v>
      </c>
      <c r="D10" t="s">
        <v>44</v>
      </c>
      <c r="E10" t="s">
        <v>29</v>
      </c>
      <c r="F10" t="s">
        <v>68</v>
      </c>
      <c r="G10">
        <v>1</v>
      </c>
      <c r="H10">
        <v>235000</v>
      </c>
      <c r="I10">
        <v>5</v>
      </c>
      <c r="J10" t="s">
        <v>16</v>
      </c>
      <c r="K10" s="14">
        <f t="shared" si="0"/>
        <v>223250</v>
      </c>
    </row>
    <row r="11" spans="1:11">
      <c r="A11" t="s">
        <v>45</v>
      </c>
      <c r="B11" s="2">
        <v>44986</v>
      </c>
      <c r="C11" t="s">
        <v>46</v>
      </c>
      <c r="D11" t="s">
        <v>44</v>
      </c>
      <c r="E11" t="s">
        <v>1290</v>
      </c>
      <c r="F11" t="s">
        <v>12</v>
      </c>
      <c r="G11">
        <v>1</v>
      </c>
      <c r="H11">
        <v>235000</v>
      </c>
      <c r="I11">
        <v>0</v>
      </c>
      <c r="J11" t="s">
        <v>47</v>
      </c>
      <c r="K11" s="14">
        <f t="shared" si="0"/>
        <v>235000</v>
      </c>
    </row>
    <row r="12" spans="1:11">
      <c r="A12" t="s">
        <v>48</v>
      </c>
      <c r="B12" s="2">
        <v>45239</v>
      </c>
      <c r="C12" t="s">
        <v>49</v>
      </c>
      <c r="D12" t="s">
        <v>50</v>
      </c>
      <c r="E12" t="s">
        <v>29</v>
      </c>
      <c r="F12" t="s">
        <v>62</v>
      </c>
      <c r="G12">
        <v>4</v>
      </c>
      <c r="H12">
        <v>220000</v>
      </c>
      <c r="I12">
        <v>0</v>
      </c>
      <c r="J12" t="s">
        <v>21</v>
      </c>
      <c r="K12" s="14">
        <f t="shared" si="0"/>
        <v>880000</v>
      </c>
    </row>
    <row r="13" spans="1:11">
      <c r="A13" t="s">
        <v>51</v>
      </c>
      <c r="B13" s="2">
        <v>45283</v>
      </c>
      <c r="C13" t="s">
        <v>52</v>
      </c>
      <c r="D13" t="s">
        <v>53</v>
      </c>
      <c r="E13" t="s">
        <v>1293</v>
      </c>
      <c r="F13" t="s">
        <v>12</v>
      </c>
      <c r="G13">
        <v>2</v>
      </c>
      <c r="H13">
        <v>195000</v>
      </c>
      <c r="I13">
        <v>10</v>
      </c>
      <c r="J13" t="s">
        <v>21</v>
      </c>
      <c r="K13" s="14">
        <f t="shared" si="0"/>
        <v>351000</v>
      </c>
    </row>
    <row r="14" spans="1:11">
      <c r="A14" t="s">
        <v>54</v>
      </c>
      <c r="B14" s="2">
        <v>45035</v>
      </c>
      <c r="C14" t="s">
        <v>55</v>
      </c>
      <c r="D14" t="s">
        <v>56</v>
      </c>
      <c r="E14" t="s">
        <v>57</v>
      </c>
      <c r="F14" t="s">
        <v>62</v>
      </c>
      <c r="G14">
        <v>1</v>
      </c>
      <c r="H14">
        <v>105000</v>
      </c>
      <c r="I14">
        <v>0</v>
      </c>
      <c r="J14" t="s">
        <v>16</v>
      </c>
      <c r="K14" s="14">
        <f t="shared" si="0"/>
        <v>105000</v>
      </c>
    </row>
    <row r="15" spans="1:11">
      <c r="A15" t="s">
        <v>58</v>
      </c>
      <c r="B15" s="2">
        <v>45081</v>
      </c>
      <c r="C15" t="s">
        <v>23</v>
      </c>
      <c r="D15" t="s">
        <v>24</v>
      </c>
      <c r="E15" t="s">
        <v>25</v>
      </c>
      <c r="F15" t="s">
        <v>12</v>
      </c>
      <c r="G15">
        <v>1</v>
      </c>
      <c r="H15">
        <v>182000</v>
      </c>
      <c r="I15">
        <v>10</v>
      </c>
      <c r="J15" t="s">
        <v>41</v>
      </c>
      <c r="K15" s="14">
        <f t="shared" si="0"/>
        <v>163800</v>
      </c>
    </row>
    <row r="16" spans="1:11">
      <c r="A16" t="s">
        <v>59</v>
      </c>
      <c r="B16" s="2">
        <v>45031</v>
      </c>
      <c r="C16" t="s">
        <v>60</v>
      </c>
      <c r="D16" t="s">
        <v>61</v>
      </c>
      <c r="E16" t="s">
        <v>20</v>
      </c>
      <c r="F16" t="s">
        <v>62</v>
      </c>
      <c r="G16">
        <v>1</v>
      </c>
      <c r="H16">
        <v>260000</v>
      </c>
      <c r="I16">
        <v>15</v>
      </c>
      <c r="J16" t="s">
        <v>41</v>
      </c>
      <c r="K16" s="14">
        <f t="shared" si="0"/>
        <v>221000</v>
      </c>
    </row>
    <row r="17" spans="1:11">
      <c r="A17" t="s">
        <v>63</v>
      </c>
      <c r="B17" s="2">
        <v>45172</v>
      </c>
      <c r="C17" t="s">
        <v>64</v>
      </c>
      <c r="D17" t="s">
        <v>65</v>
      </c>
      <c r="E17" t="s">
        <v>66</v>
      </c>
      <c r="F17" t="s">
        <v>62</v>
      </c>
      <c r="G17">
        <v>1</v>
      </c>
      <c r="H17">
        <v>295000</v>
      </c>
      <c r="I17">
        <v>0</v>
      </c>
      <c r="J17" t="s">
        <v>16</v>
      </c>
      <c r="K17" s="14">
        <f t="shared" si="0"/>
        <v>295000</v>
      </c>
    </row>
    <row r="18" spans="1:11">
      <c r="A18" t="s">
        <v>67</v>
      </c>
      <c r="B18" s="2">
        <v>45019</v>
      </c>
      <c r="C18" t="s">
        <v>173</v>
      </c>
      <c r="D18" t="s">
        <v>39</v>
      </c>
      <c r="E18" t="s">
        <v>40</v>
      </c>
      <c r="F18" t="s">
        <v>68</v>
      </c>
      <c r="G18">
        <v>1</v>
      </c>
      <c r="H18">
        <v>320000</v>
      </c>
      <c r="I18">
        <v>10</v>
      </c>
      <c r="J18" t="s">
        <v>21</v>
      </c>
      <c r="K18" s="14">
        <f t="shared" si="0"/>
        <v>288000</v>
      </c>
    </row>
    <row r="19" spans="1:11">
      <c r="A19" t="s">
        <v>69</v>
      </c>
      <c r="B19" s="2">
        <v>45233</v>
      </c>
      <c r="C19" t="s">
        <v>70</v>
      </c>
      <c r="D19" t="s">
        <v>65</v>
      </c>
      <c r="E19" t="s">
        <v>66</v>
      </c>
      <c r="F19" t="s">
        <v>12</v>
      </c>
      <c r="G19">
        <v>1</v>
      </c>
      <c r="H19">
        <v>295000</v>
      </c>
      <c r="I19">
        <v>0</v>
      </c>
      <c r="J19" t="s">
        <v>21</v>
      </c>
      <c r="K19" s="14">
        <f t="shared" si="0"/>
        <v>295000</v>
      </c>
    </row>
    <row r="20" spans="1:11">
      <c r="A20" t="s">
        <v>72</v>
      </c>
      <c r="B20" s="2">
        <v>45005</v>
      </c>
      <c r="C20" t="s">
        <v>55</v>
      </c>
      <c r="D20" t="s">
        <v>56</v>
      </c>
      <c r="E20" t="s">
        <v>57</v>
      </c>
      <c r="F20" t="s">
        <v>62</v>
      </c>
      <c r="G20">
        <v>4</v>
      </c>
      <c r="H20">
        <v>105000</v>
      </c>
      <c r="I20">
        <v>0</v>
      </c>
      <c r="J20" t="s">
        <v>21</v>
      </c>
      <c r="K20" s="14">
        <f t="shared" si="0"/>
        <v>420000</v>
      </c>
    </row>
    <row r="21" spans="1:11">
      <c r="A21" t="s">
        <v>73</v>
      </c>
      <c r="B21" s="2">
        <v>45279</v>
      </c>
      <c r="C21" t="s">
        <v>55</v>
      </c>
      <c r="D21" t="s">
        <v>56</v>
      </c>
      <c r="E21" t="s">
        <v>57</v>
      </c>
      <c r="F21" t="s">
        <v>62</v>
      </c>
      <c r="G21">
        <v>1</v>
      </c>
      <c r="H21">
        <v>105000</v>
      </c>
      <c r="I21">
        <v>0</v>
      </c>
      <c r="J21" t="s">
        <v>41</v>
      </c>
      <c r="K21" s="14">
        <f t="shared" si="0"/>
        <v>105000</v>
      </c>
    </row>
    <row r="22" spans="1:11">
      <c r="A22" t="s">
        <v>74</v>
      </c>
      <c r="B22" s="2">
        <v>45197</v>
      </c>
      <c r="C22" t="s">
        <v>75</v>
      </c>
      <c r="D22" t="s">
        <v>32</v>
      </c>
      <c r="E22" t="s">
        <v>29</v>
      </c>
      <c r="F22" t="s">
        <v>12</v>
      </c>
      <c r="G22">
        <v>4</v>
      </c>
      <c r="H22">
        <v>215000</v>
      </c>
      <c r="I22">
        <v>0</v>
      </c>
      <c r="J22" t="s">
        <v>21</v>
      </c>
      <c r="K22" s="14">
        <f t="shared" si="0"/>
        <v>860000</v>
      </c>
    </row>
    <row r="23" spans="1:11">
      <c r="A23" t="s">
        <v>76</v>
      </c>
      <c r="B23" s="2">
        <v>45012</v>
      </c>
      <c r="C23" t="s">
        <v>15</v>
      </c>
      <c r="D23" t="s">
        <v>10</v>
      </c>
      <c r="E23" t="s">
        <v>11</v>
      </c>
      <c r="F23" t="s">
        <v>1268</v>
      </c>
      <c r="G23">
        <v>1</v>
      </c>
      <c r="H23">
        <v>420000</v>
      </c>
      <c r="I23">
        <v>0</v>
      </c>
      <c r="J23" t="s">
        <v>16</v>
      </c>
      <c r="K23" s="14">
        <f t="shared" si="0"/>
        <v>420000</v>
      </c>
    </row>
    <row r="24" spans="1:11">
      <c r="A24" t="s">
        <v>77</v>
      </c>
      <c r="B24" s="2">
        <v>45137</v>
      </c>
      <c r="C24" t="s">
        <v>64</v>
      </c>
      <c r="D24" t="s">
        <v>65</v>
      </c>
      <c r="E24" t="s">
        <v>66</v>
      </c>
      <c r="F24" t="s">
        <v>62</v>
      </c>
      <c r="G24">
        <v>2</v>
      </c>
      <c r="H24">
        <v>295000</v>
      </c>
      <c r="I24">
        <v>15</v>
      </c>
      <c r="J24" t="s">
        <v>21</v>
      </c>
      <c r="K24" s="14">
        <f t="shared" si="0"/>
        <v>501500</v>
      </c>
    </row>
    <row r="25" spans="1:11">
      <c r="A25" t="s">
        <v>78</v>
      </c>
      <c r="B25" s="2">
        <v>45139</v>
      </c>
      <c r="C25" t="s">
        <v>15</v>
      </c>
      <c r="D25" t="s">
        <v>10</v>
      </c>
      <c r="E25" t="s">
        <v>11</v>
      </c>
      <c r="F25" t="s">
        <v>68</v>
      </c>
      <c r="G25">
        <v>2</v>
      </c>
      <c r="H25">
        <v>420000</v>
      </c>
      <c r="I25">
        <v>10</v>
      </c>
      <c r="J25" t="s">
        <v>21</v>
      </c>
      <c r="K25" s="14">
        <f t="shared" si="0"/>
        <v>756000</v>
      </c>
    </row>
    <row r="26" spans="1:11">
      <c r="A26" t="s">
        <v>79</v>
      </c>
      <c r="B26" s="2">
        <v>45224</v>
      </c>
      <c r="C26" t="s">
        <v>43</v>
      </c>
      <c r="D26" t="s">
        <v>44</v>
      </c>
      <c r="E26" t="s">
        <v>29</v>
      </c>
      <c r="F26" t="s">
        <v>68</v>
      </c>
      <c r="G26">
        <v>2</v>
      </c>
      <c r="H26">
        <v>235000</v>
      </c>
      <c r="I26">
        <v>0</v>
      </c>
      <c r="J26" t="s">
        <v>21</v>
      </c>
      <c r="K26" s="14">
        <f t="shared" si="0"/>
        <v>470000</v>
      </c>
    </row>
    <row r="27" spans="1:11">
      <c r="A27" t="s">
        <v>80</v>
      </c>
      <c r="B27" s="2">
        <v>45019</v>
      </c>
      <c r="C27" t="s">
        <v>173</v>
      </c>
      <c r="D27" t="s">
        <v>39</v>
      </c>
      <c r="E27" t="s">
        <v>40</v>
      </c>
      <c r="F27" t="s">
        <v>68</v>
      </c>
      <c r="G27">
        <v>1</v>
      </c>
      <c r="H27">
        <v>320000</v>
      </c>
      <c r="I27">
        <v>0</v>
      </c>
      <c r="J27" t="s">
        <v>71</v>
      </c>
      <c r="K27" s="14">
        <f t="shared" si="0"/>
        <v>320000</v>
      </c>
    </row>
    <row r="28" spans="1:11">
      <c r="A28" t="s">
        <v>81</v>
      </c>
      <c r="B28" s="2">
        <v>45255</v>
      </c>
      <c r="C28" t="s">
        <v>82</v>
      </c>
      <c r="D28" t="s">
        <v>83</v>
      </c>
      <c r="E28" t="s">
        <v>84</v>
      </c>
      <c r="F28" t="s">
        <v>68</v>
      </c>
      <c r="G28">
        <v>2</v>
      </c>
      <c r="H28">
        <v>395000</v>
      </c>
      <c r="I28">
        <v>0</v>
      </c>
      <c r="J28" t="s">
        <v>71</v>
      </c>
      <c r="K28" s="14">
        <f t="shared" si="0"/>
        <v>790000</v>
      </c>
    </row>
    <row r="29" spans="1:11">
      <c r="A29" t="s">
        <v>85</v>
      </c>
      <c r="B29" s="2">
        <v>45259</v>
      </c>
      <c r="C29" t="s">
        <v>75</v>
      </c>
      <c r="D29" t="s">
        <v>32</v>
      </c>
      <c r="E29" t="s">
        <v>29</v>
      </c>
      <c r="F29" t="s">
        <v>12</v>
      </c>
      <c r="G29">
        <v>1</v>
      </c>
      <c r="H29">
        <v>215000</v>
      </c>
      <c r="I29">
        <v>10</v>
      </c>
      <c r="J29" t="s">
        <v>71</v>
      </c>
      <c r="K29" s="14">
        <f t="shared" si="0"/>
        <v>193500</v>
      </c>
    </row>
    <row r="30" spans="1:11">
      <c r="A30" t="s">
        <v>86</v>
      </c>
      <c r="B30" s="2">
        <v>45059</v>
      </c>
      <c r="C30" t="s">
        <v>15</v>
      </c>
      <c r="D30" t="s">
        <v>10</v>
      </c>
      <c r="E30" t="s">
        <v>11</v>
      </c>
      <c r="F30" t="s">
        <v>68</v>
      </c>
      <c r="G30">
        <v>1</v>
      </c>
      <c r="H30">
        <v>420000</v>
      </c>
      <c r="I30">
        <v>0</v>
      </c>
      <c r="J30" t="s">
        <v>16</v>
      </c>
      <c r="K30" s="14">
        <f t="shared" si="0"/>
        <v>420000</v>
      </c>
    </row>
    <row r="31" spans="1:11">
      <c r="A31" t="s">
        <v>87</v>
      </c>
      <c r="B31" s="2">
        <v>45135</v>
      </c>
      <c r="C31" t="s">
        <v>88</v>
      </c>
      <c r="D31" t="s">
        <v>10</v>
      </c>
      <c r="E31" t="s">
        <v>11</v>
      </c>
      <c r="F31" t="s">
        <v>62</v>
      </c>
      <c r="G31">
        <v>1</v>
      </c>
      <c r="H31">
        <v>420000</v>
      </c>
      <c r="I31">
        <v>5</v>
      </c>
      <c r="J31" t="s">
        <v>41</v>
      </c>
      <c r="K31" s="14">
        <f t="shared" si="0"/>
        <v>399000</v>
      </c>
    </row>
    <row r="32" spans="1:11">
      <c r="A32" t="s">
        <v>89</v>
      </c>
      <c r="B32" s="2">
        <v>45253</v>
      </c>
      <c r="C32" t="s">
        <v>90</v>
      </c>
      <c r="D32" t="s">
        <v>91</v>
      </c>
      <c r="E32" t="s">
        <v>11</v>
      </c>
      <c r="F32" t="s">
        <v>12</v>
      </c>
      <c r="G32">
        <v>1</v>
      </c>
      <c r="H32">
        <v>425000</v>
      </c>
      <c r="I32">
        <v>0</v>
      </c>
      <c r="J32" t="s">
        <v>41</v>
      </c>
      <c r="K32" s="14">
        <f t="shared" si="0"/>
        <v>425000</v>
      </c>
    </row>
    <row r="33" spans="1:11">
      <c r="A33" t="s">
        <v>92</v>
      </c>
      <c r="B33" s="2">
        <v>45253</v>
      </c>
      <c r="C33" t="s">
        <v>18</v>
      </c>
      <c r="D33" t="s">
        <v>19</v>
      </c>
      <c r="E33" t="s">
        <v>20</v>
      </c>
      <c r="F33" t="s">
        <v>12</v>
      </c>
      <c r="G33">
        <v>1</v>
      </c>
      <c r="H33">
        <v>265000</v>
      </c>
      <c r="I33">
        <v>0</v>
      </c>
      <c r="J33" t="s">
        <v>16</v>
      </c>
      <c r="K33" s="14">
        <f t="shared" si="0"/>
        <v>265000</v>
      </c>
    </row>
    <row r="34" spans="1:11">
      <c r="A34" t="s">
        <v>93</v>
      </c>
      <c r="B34" s="2">
        <v>45014</v>
      </c>
      <c r="C34" t="s">
        <v>94</v>
      </c>
      <c r="D34" t="s">
        <v>50</v>
      </c>
      <c r="E34" t="s">
        <v>29</v>
      </c>
      <c r="F34" t="s">
        <v>68</v>
      </c>
      <c r="G34">
        <v>3</v>
      </c>
      <c r="H34">
        <v>220000</v>
      </c>
      <c r="I34">
        <v>5</v>
      </c>
      <c r="J34" t="s">
        <v>41</v>
      </c>
      <c r="K34" s="14">
        <f t="shared" si="0"/>
        <v>627000</v>
      </c>
    </row>
    <row r="35" spans="1:11">
      <c r="A35" t="s">
        <v>95</v>
      </c>
      <c r="B35" s="2">
        <v>45204</v>
      </c>
      <c r="C35" t="s">
        <v>96</v>
      </c>
      <c r="D35" t="s">
        <v>97</v>
      </c>
      <c r="E35" t="s">
        <v>98</v>
      </c>
      <c r="F35" t="s">
        <v>12</v>
      </c>
      <c r="G35">
        <v>2</v>
      </c>
      <c r="H35">
        <v>170000</v>
      </c>
      <c r="I35">
        <v>0</v>
      </c>
      <c r="J35" t="s">
        <v>21</v>
      </c>
      <c r="K35" s="14">
        <f t="shared" si="0"/>
        <v>340000</v>
      </c>
    </row>
    <row r="36" spans="1:11">
      <c r="A36" t="s">
        <v>99</v>
      </c>
      <c r="B36" s="2">
        <v>45230</v>
      </c>
      <c r="C36" t="s">
        <v>55</v>
      </c>
      <c r="D36" t="s">
        <v>56</v>
      </c>
      <c r="E36" t="s">
        <v>57</v>
      </c>
      <c r="F36" t="s">
        <v>62</v>
      </c>
      <c r="G36">
        <v>3</v>
      </c>
      <c r="H36">
        <v>105000</v>
      </c>
      <c r="I36">
        <v>0</v>
      </c>
      <c r="J36" t="s">
        <v>71</v>
      </c>
      <c r="K36" s="14">
        <f t="shared" si="0"/>
        <v>315000</v>
      </c>
    </row>
    <row r="37" spans="1:11">
      <c r="A37" t="s">
        <v>100</v>
      </c>
      <c r="B37" s="2">
        <v>45181</v>
      </c>
      <c r="C37" t="s">
        <v>101</v>
      </c>
      <c r="D37" t="s">
        <v>102</v>
      </c>
      <c r="E37" t="s">
        <v>11</v>
      </c>
      <c r="F37" t="s">
        <v>12</v>
      </c>
      <c r="G37">
        <v>3</v>
      </c>
      <c r="H37">
        <v>430000</v>
      </c>
      <c r="I37">
        <v>15</v>
      </c>
      <c r="J37" t="s">
        <v>16</v>
      </c>
      <c r="K37" s="14">
        <f t="shared" si="0"/>
        <v>1096500</v>
      </c>
    </row>
    <row r="38" spans="1:11">
      <c r="A38" t="s">
        <v>103</v>
      </c>
      <c r="B38" s="2">
        <v>45252</v>
      </c>
      <c r="C38" t="s">
        <v>104</v>
      </c>
      <c r="D38" t="s">
        <v>105</v>
      </c>
      <c r="E38" t="s">
        <v>29</v>
      </c>
      <c r="F38" t="s">
        <v>12</v>
      </c>
      <c r="G38">
        <v>3</v>
      </c>
      <c r="H38">
        <v>210000</v>
      </c>
      <c r="I38">
        <v>0</v>
      </c>
      <c r="J38" t="s">
        <v>16</v>
      </c>
      <c r="K38" s="14">
        <f t="shared" si="0"/>
        <v>630000</v>
      </c>
    </row>
    <row r="39" spans="1:11">
      <c r="A39" t="s">
        <v>106</v>
      </c>
      <c r="B39" s="2">
        <v>45221</v>
      </c>
      <c r="C39" t="s">
        <v>38</v>
      </c>
      <c r="D39" t="s">
        <v>39</v>
      </c>
      <c r="E39" t="s">
        <v>40</v>
      </c>
      <c r="F39" t="s">
        <v>12</v>
      </c>
      <c r="G39">
        <v>2</v>
      </c>
      <c r="H39">
        <v>320000</v>
      </c>
      <c r="I39">
        <v>0</v>
      </c>
      <c r="J39" t="s">
        <v>16</v>
      </c>
      <c r="K39" s="14">
        <f t="shared" si="0"/>
        <v>640000</v>
      </c>
    </row>
    <row r="40" spans="1:11">
      <c r="A40" t="s">
        <v>107</v>
      </c>
      <c r="B40" s="2">
        <v>45111</v>
      </c>
      <c r="C40" t="s">
        <v>108</v>
      </c>
      <c r="D40" t="s">
        <v>56</v>
      </c>
      <c r="E40" t="s">
        <v>57</v>
      </c>
      <c r="F40" t="s">
        <v>12</v>
      </c>
      <c r="G40">
        <v>1</v>
      </c>
      <c r="H40">
        <v>105000</v>
      </c>
      <c r="I40">
        <v>0</v>
      </c>
      <c r="J40" t="s">
        <v>16</v>
      </c>
      <c r="K40" s="14">
        <f t="shared" si="0"/>
        <v>105000</v>
      </c>
    </row>
    <row r="41" spans="1:11">
      <c r="A41" t="s">
        <v>109</v>
      </c>
      <c r="B41" s="2">
        <v>45171</v>
      </c>
      <c r="C41" t="s">
        <v>184</v>
      </c>
      <c r="D41" t="s">
        <v>110</v>
      </c>
      <c r="E41" t="s">
        <v>66</v>
      </c>
      <c r="F41" t="s">
        <v>12</v>
      </c>
      <c r="G41">
        <v>1</v>
      </c>
      <c r="H41">
        <v>335000</v>
      </c>
      <c r="I41">
        <v>10</v>
      </c>
      <c r="J41" t="s">
        <v>21</v>
      </c>
      <c r="K41" s="14">
        <f t="shared" si="0"/>
        <v>301500</v>
      </c>
    </row>
    <row r="42" spans="1:11">
      <c r="A42" t="s">
        <v>111</v>
      </c>
      <c r="B42" s="2">
        <v>45264</v>
      </c>
      <c r="C42" t="s">
        <v>94</v>
      </c>
      <c r="D42" t="s">
        <v>50</v>
      </c>
      <c r="E42" t="s">
        <v>29</v>
      </c>
      <c r="F42" t="s">
        <v>68</v>
      </c>
      <c r="G42">
        <v>1</v>
      </c>
      <c r="H42">
        <v>220000</v>
      </c>
      <c r="I42">
        <v>0</v>
      </c>
      <c r="J42" t="s">
        <v>16</v>
      </c>
      <c r="K42" s="14">
        <f t="shared" si="0"/>
        <v>220000</v>
      </c>
    </row>
    <row r="43" spans="1:11">
      <c r="A43" t="s">
        <v>112</v>
      </c>
      <c r="B43" s="2">
        <v>44996</v>
      </c>
      <c r="C43" t="s">
        <v>88</v>
      </c>
      <c r="D43" t="s">
        <v>10</v>
      </c>
      <c r="E43" t="s">
        <v>11</v>
      </c>
      <c r="F43" t="s">
        <v>62</v>
      </c>
      <c r="G43">
        <v>1</v>
      </c>
      <c r="H43">
        <v>420000</v>
      </c>
      <c r="I43">
        <v>0</v>
      </c>
      <c r="J43" t="s">
        <v>16</v>
      </c>
      <c r="K43" s="14">
        <f t="shared" si="0"/>
        <v>420000</v>
      </c>
    </row>
    <row r="44" spans="1:11">
      <c r="A44" t="s">
        <v>113</v>
      </c>
      <c r="B44" s="2">
        <v>45199</v>
      </c>
      <c r="C44" t="s">
        <v>94</v>
      </c>
      <c r="D44" t="s">
        <v>50</v>
      </c>
      <c r="E44" t="s">
        <v>29</v>
      </c>
      <c r="F44" t="s">
        <v>68</v>
      </c>
      <c r="G44">
        <v>1</v>
      </c>
      <c r="H44">
        <v>220000</v>
      </c>
      <c r="I44">
        <v>5</v>
      </c>
      <c r="J44" t="s">
        <v>16</v>
      </c>
      <c r="K44" s="14">
        <f t="shared" si="0"/>
        <v>209000</v>
      </c>
    </row>
    <row r="45" spans="1:11">
      <c r="A45" t="s">
        <v>114</v>
      </c>
      <c r="B45" s="2">
        <v>45172</v>
      </c>
      <c r="C45" t="s">
        <v>96</v>
      </c>
      <c r="D45" t="s">
        <v>97</v>
      </c>
      <c r="E45" t="s">
        <v>98</v>
      </c>
      <c r="F45" t="s">
        <v>12</v>
      </c>
      <c r="G45">
        <v>2</v>
      </c>
      <c r="H45">
        <v>170000</v>
      </c>
      <c r="I45">
        <v>0</v>
      </c>
      <c r="J45" t="s">
        <v>71</v>
      </c>
      <c r="K45" s="14">
        <f t="shared" si="0"/>
        <v>340000</v>
      </c>
    </row>
    <row r="46" spans="1:11">
      <c r="A46" t="s">
        <v>115</v>
      </c>
      <c r="B46" s="2">
        <v>45070</v>
      </c>
      <c r="C46" t="s">
        <v>27</v>
      </c>
      <c r="D46" t="s">
        <v>28</v>
      </c>
      <c r="E46" t="s">
        <v>29</v>
      </c>
      <c r="F46" t="s">
        <v>12</v>
      </c>
      <c r="G46">
        <v>1</v>
      </c>
      <c r="H46">
        <v>210000</v>
      </c>
      <c r="I46">
        <v>0</v>
      </c>
      <c r="J46" t="s">
        <v>16</v>
      </c>
      <c r="K46" s="14">
        <f t="shared" si="0"/>
        <v>210000</v>
      </c>
    </row>
    <row r="47" spans="1:11">
      <c r="A47" t="s">
        <v>116</v>
      </c>
      <c r="B47" s="2">
        <v>45063</v>
      </c>
      <c r="C47" t="s">
        <v>52</v>
      </c>
      <c r="D47" t="s">
        <v>53</v>
      </c>
      <c r="E47" t="s">
        <v>1293</v>
      </c>
      <c r="F47" t="s">
        <v>12</v>
      </c>
      <c r="G47">
        <v>2</v>
      </c>
      <c r="H47">
        <v>195000</v>
      </c>
      <c r="I47">
        <v>0</v>
      </c>
      <c r="J47" t="s">
        <v>16</v>
      </c>
      <c r="K47" s="14">
        <f t="shared" si="0"/>
        <v>390000</v>
      </c>
    </row>
    <row r="48" spans="1:11">
      <c r="A48" t="s">
        <v>117</v>
      </c>
      <c r="B48" s="2">
        <v>45278</v>
      </c>
      <c r="C48" t="s">
        <v>15</v>
      </c>
      <c r="D48" t="s">
        <v>10</v>
      </c>
      <c r="E48" t="s">
        <v>11</v>
      </c>
      <c r="F48" t="s">
        <v>68</v>
      </c>
      <c r="G48">
        <v>-2</v>
      </c>
      <c r="H48">
        <v>420000</v>
      </c>
      <c r="I48">
        <v>0</v>
      </c>
      <c r="J48" t="s">
        <v>21</v>
      </c>
      <c r="K48" s="14">
        <f t="shared" si="0"/>
        <v>-840000</v>
      </c>
    </row>
    <row r="49" spans="1:11">
      <c r="A49" t="s">
        <v>118</v>
      </c>
      <c r="B49" s="2">
        <v>44995</v>
      </c>
      <c r="C49" t="s">
        <v>119</v>
      </c>
      <c r="D49" t="s">
        <v>120</v>
      </c>
      <c r="E49" t="s">
        <v>11</v>
      </c>
      <c r="F49" t="s">
        <v>68</v>
      </c>
      <c r="G49">
        <v>2</v>
      </c>
      <c r="H49">
        <v>440000</v>
      </c>
      <c r="I49">
        <v>5</v>
      </c>
      <c r="J49" t="s">
        <v>21</v>
      </c>
      <c r="K49" s="14">
        <f t="shared" si="0"/>
        <v>836000</v>
      </c>
    </row>
    <row r="50" spans="1:11">
      <c r="A50" t="s">
        <v>121</v>
      </c>
      <c r="B50" s="2">
        <v>44993</v>
      </c>
      <c r="C50" t="s">
        <v>122</v>
      </c>
      <c r="D50" t="s">
        <v>123</v>
      </c>
      <c r="E50" t="s">
        <v>124</v>
      </c>
      <c r="F50" t="s">
        <v>12</v>
      </c>
      <c r="G50">
        <v>1</v>
      </c>
      <c r="H50">
        <v>228000</v>
      </c>
      <c r="I50">
        <v>0</v>
      </c>
      <c r="J50" t="s">
        <v>71</v>
      </c>
      <c r="K50" s="14">
        <f t="shared" si="0"/>
        <v>228000</v>
      </c>
    </row>
    <row r="51" spans="1:11">
      <c r="A51" t="s">
        <v>125</v>
      </c>
      <c r="B51" s="2">
        <v>45183</v>
      </c>
      <c r="C51" t="s">
        <v>88</v>
      </c>
      <c r="D51" t="s">
        <v>10</v>
      </c>
      <c r="E51" t="s">
        <v>11</v>
      </c>
      <c r="F51" t="s">
        <v>62</v>
      </c>
      <c r="G51">
        <v>4</v>
      </c>
      <c r="H51">
        <v>420000</v>
      </c>
      <c r="I51">
        <v>0</v>
      </c>
      <c r="J51" t="s">
        <v>16</v>
      </c>
      <c r="K51" s="14">
        <f t="shared" si="0"/>
        <v>1680000</v>
      </c>
    </row>
    <row r="52" spans="1:11">
      <c r="A52" t="s">
        <v>126</v>
      </c>
      <c r="B52" s="2">
        <v>45196</v>
      </c>
      <c r="C52" t="s">
        <v>15</v>
      </c>
      <c r="D52" t="s">
        <v>10</v>
      </c>
      <c r="E52" t="s">
        <v>11</v>
      </c>
      <c r="F52" t="s">
        <v>68</v>
      </c>
      <c r="G52">
        <v>4</v>
      </c>
      <c r="H52">
        <v>420000</v>
      </c>
      <c r="I52">
        <v>5</v>
      </c>
      <c r="J52" t="s">
        <v>21</v>
      </c>
      <c r="K52" s="14">
        <f t="shared" si="0"/>
        <v>1596000</v>
      </c>
    </row>
    <row r="53" spans="1:11">
      <c r="A53" t="s">
        <v>127</v>
      </c>
      <c r="B53" s="2">
        <v>45236</v>
      </c>
      <c r="C53" t="s">
        <v>82</v>
      </c>
      <c r="D53" t="s">
        <v>83</v>
      </c>
      <c r="E53" t="s">
        <v>84</v>
      </c>
      <c r="F53" t="s">
        <v>68</v>
      </c>
      <c r="G53">
        <v>1</v>
      </c>
      <c r="H53">
        <v>395000</v>
      </c>
      <c r="I53">
        <v>0</v>
      </c>
      <c r="J53" t="s">
        <v>16</v>
      </c>
      <c r="K53" s="14">
        <f t="shared" si="0"/>
        <v>395000</v>
      </c>
    </row>
    <row r="54" spans="1:11">
      <c r="A54" t="s">
        <v>128</v>
      </c>
      <c r="B54" s="2">
        <v>45019</v>
      </c>
      <c r="C54" t="s">
        <v>90</v>
      </c>
      <c r="D54" t="s">
        <v>91</v>
      </c>
      <c r="E54" t="s">
        <v>11</v>
      </c>
      <c r="F54" t="s">
        <v>12</v>
      </c>
      <c r="G54">
        <v>1</v>
      </c>
      <c r="H54">
        <v>425000</v>
      </c>
      <c r="I54">
        <v>0</v>
      </c>
      <c r="J54" t="s">
        <v>16</v>
      </c>
      <c r="K54" s="14">
        <f t="shared" si="0"/>
        <v>425000</v>
      </c>
    </row>
    <row r="55" spans="1:11">
      <c r="A55" t="s">
        <v>129</v>
      </c>
      <c r="B55" s="2">
        <v>45016</v>
      </c>
      <c r="C55" t="s">
        <v>43</v>
      </c>
      <c r="D55" t="s">
        <v>44</v>
      </c>
      <c r="E55" t="s">
        <v>29</v>
      </c>
      <c r="F55" t="s">
        <v>68</v>
      </c>
      <c r="G55">
        <v>5</v>
      </c>
      <c r="H55">
        <v>235000</v>
      </c>
      <c r="I55">
        <v>0</v>
      </c>
      <c r="J55" t="s">
        <v>41</v>
      </c>
      <c r="K55" s="14">
        <f t="shared" si="0"/>
        <v>1175000</v>
      </c>
    </row>
    <row r="56" spans="1:11">
      <c r="A56" t="s">
        <v>130</v>
      </c>
      <c r="B56" s="2">
        <v>44991</v>
      </c>
      <c r="C56" t="s">
        <v>131</v>
      </c>
      <c r="D56" t="s">
        <v>132</v>
      </c>
      <c r="E56" t="s">
        <v>20</v>
      </c>
      <c r="F56" t="s">
        <v>12</v>
      </c>
      <c r="G56">
        <v>1</v>
      </c>
      <c r="H56">
        <v>280000</v>
      </c>
      <c r="I56">
        <v>0</v>
      </c>
      <c r="J56" t="s">
        <v>21</v>
      </c>
      <c r="K56" s="14">
        <f t="shared" si="0"/>
        <v>280000</v>
      </c>
    </row>
    <row r="57" spans="1:11">
      <c r="A57" t="s">
        <v>134</v>
      </c>
      <c r="B57" s="2">
        <v>45113</v>
      </c>
      <c r="C57" t="s">
        <v>133</v>
      </c>
      <c r="D57" t="s">
        <v>102</v>
      </c>
      <c r="E57" t="s">
        <v>11</v>
      </c>
      <c r="F57" t="s">
        <v>62</v>
      </c>
      <c r="G57">
        <v>1</v>
      </c>
      <c r="H57">
        <v>430000</v>
      </c>
      <c r="I57">
        <v>10</v>
      </c>
      <c r="J57" t="s">
        <v>21</v>
      </c>
      <c r="K57" s="14">
        <f t="shared" si="0"/>
        <v>387000</v>
      </c>
    </row>
    <row r="58" spans="1:11">
      <c r="A58" t="s">
        <v>135</v>
      </c>
      <c r="B58" s="2">
        <v>45121</v>
      </c>
      <c r="C58" t="s">
        <v>31</v>
      </c>
      <c r="D58" t="s">
        <v>32</v>
      </c>
      <c r="E58" t="s">
        <v>29</v>
      </c>
      <c r="F58" t="s">
        <v>68</v>
      </c>
      <c r="G58">
        <v>5</v>
      </c>
      <c r="H58">
        <v>215000</v>
      </c>
      <c r="I58">
        <v>0</v>
      </c>
      <c r="J58" t="s">
        <v>21</v>
      </c>
      <c r="K58" s="14">
        <f t="shared" si="0"/>
        <v>1075000</v>
      </c>
    </row>
    <row r="59" spans="1:11">
      <c r="A59" t="s">
        <v>136</v>
      </c>
      <c r="B59" s="2">
        <v>45149</v>
      </c>
      <c r="C59" t="s">
        <v>162</v>
      </c>
      <c r="D59" t="s">
        <v>56</v>
      </c>
      <c r="E59" t="s">
        <v>57</v>
      </c>
      <c r="F59" t="s">
        <v>68</v>
      </c>
      <c r="G59">
        <v>3</v>
      </c>
      <c r="H59">
        <v>105000</v>
      </c>
      <c r="I59">
        <v>5</v>
      </c>
      <c r="J59" t="s">
        <v>16</v>
      </c>
      <c r="K59" s="14">
        <f t="shared" si="0"/>
        <v>299250</v>
      </c>
    </row>
    <row r="60" spans="1:11">
      <c r="A60" t="s">
        <v>137</v>
      </c>
      <c r="B60" s="2">
        <v>45009</v>
      </c>
      <c r="C60" t="s">
        <v>96</v>
      </c>
      <c r="D60" t="s">
        <v>97</v>
      </c>
      <c r="E60" t="s">
        <v>98</v>
      </c>
      <c r="F60" t="s">
        <v>12</v>
      </c>
      <c r="G60">
        <v>2</v>
      </c>
      <c r="H60">
        <v>170000</v>
      </c>
      <c r="I60">
        <v>0</v>
      </c>
      <c r="J60" t="s">
        <v>13</v>
      </c>
      <c r="K60" s="14">
        <f t="shared" si="0"/>
        <v>340000</v>
      </c>
    </row>
    <row r="61" spans="1:11">
      <c r="A61" t="s">
        <v>138</v>
      </c>
      <c r="B61" s="2">
        <v>44960</v>
      </c>
      <c r="C61" t="s">
        <v>139</v>
      </c>
      <c r="D61" t="s">
        <v>61</v>
      </c>
      <c r="E61" t="s">
        <v>20</v>
      </c>
      <c r="F61" t="s">
        <v>12</v>
      </c>
      <c r="G61">
        <v>1</v>
      </c>
      <c r="H61">
        <v>260000</v>
      </c>
      <c r="I61">
        <v>0</v>
      </c>
      <c r="J61" t="s">
        <v>21</v>
      </c>
      <c r="K61" s="14">
        <f t="shared" si="0"/>
        <v>260000</v>
      </c>
    </row>
    <row r="62" spans="1:11">
      <c r="A62" t="s">
        <v>140</v>
      </c>
      <c r="B62" s="2">
        <v>45244</v>
      </c>
      <c r="C62" t="s">
        <v>139</v>
      </c>
      <c r="D62" t="s">
        <v>61</v>
      </c>
      <c r="E62" t="s">
        <v>20</v>
      </c>
      <c r="F62" t="s">
        <v>12</v>
      </c>
      <c r="G62">
        <v>5</v>
      </c>
      <c r="H62">
        <v>260000</v>
      </c>
      <c r="I62">
        <v>0</v>
      </c>
      <c r="J62" t="s">
        <v>16</v>
      </c>
      <c r="K62" s="14">
        <f t="shared" si="0"/>
        <v>1300000</v>
      </c>
    </row>
    <row r="63" spans="1:11">
      <c r="A63" t="s">
        <v>141</v>
      </c>
      <c r="B63" s="2">
        <v>45068</v>
      </c>
      <c r="C63" t="s">
        <v>144</v>
      </c>
      <c r="D63" t="s">
        <v>142</v>
      </c>
      <c r="E63" t="s">
        <v>66</v>
      </c>
      <c r="F63" t="s">
        <v>12</v>
      </c>
      <c r="G63">
        <v>2</v>
      </c>
      <c r="H63">
        <v>330000</v>
      </c>
      <c r="I63">
        <v>0</v>
      </c>
      <c r="J63" t="s">
        <v>16</v>
      </c>
      <c r="K63" s="14">
        <f t="shared" ref="K63:K123" si="1">G63*H63*(1-I63/100)</f>
        <v>660000</v>
      </c>
    </row>
    <row r="64" spans="1:11">
      <c r="A64" t="s">
        <v>143</v>
      </c>
      <c r="B64" s="2">
        <v>45122</v>
      </c>
      <c r="C64" t="s">
        <v>144</v>
      </c>
      <c r="D64" t="s">
        <v>142</v>
      </c>
      <c r="E64" t="s">
        <v>66</v>
      </c>
      <c r="F64" t="s">
        <v>12</v>
      </c>
      <c r="G64">
        <v>1</v>
      </c>
      <c r="H64">
        <v>330000</v>
      </c>
      <c r="I64">
        <v>0</v>
      </c>
      <c r="J64" t="s">
        <v>16</v>
      </c>
      <c r="K64" s="14">
        <f t="shared" si="1"/>
        <v>330000</v>
      </c>
    </row>
    <row r="65" spans="1:11">
      <c r="A65" t="s">
        <v>145</v>
      </c>
      <c r="B65" s="2">
        <v>45144</v>
      </c>
      <c r="C65" t="s">
        <v>43</v>
      </c>
      <c r="D65" t="s">
        <v>44</v>
      </c>
      <c r="E65" t="s">
        <v>29</v>
      </c>
      <c r="F65" t="s">
        <v>68</v>
      </c>
      <c r="G65">
        <v>1</v>
      </c>
      <c r="H65">
        <v>235000</v>
      </c>
      <c r="I65">
        <v>0</v>
      </c>
      <c r="J65" t="s">
        <v>41</v>
      </c>
      <c r="K65" s="14">
        <f t="shared" si="1"/>
        <v>235000</v>
      </c>
    </row>
    <row r="66" spans="1:11">
      <c r="A66" t="s">
        <v>146</v>
      </c>
      <c r="B66" s="2">
        <v>44934</v>
      </c>
      <c r="C66" t="s">
        <v>147</v>
      </c>
      <c r="D66" t="s">
        <v>148</v>
      </c>
      <c r="E66" t="s">
        <v>66</v>
      </c>
      <c r="F66" t="s">
        <v>12</v>
      </c>
      <c r="G66">
        <v>1</v>
      </c>
      <c r="H66">
        <v>305000</v>
      </c>
      <c r="I66">
        <v>10</v>
      </c>
      <c r="J66" t="s">
        <v>41</v>
      </c>
      <c r="K66" s="14">
        <f t="shared" si="1"/>
        <v>274500</v>
      </c>
    </row>
    <row r="67" spans="1:11">
      <c r="A67" t="s">
        <v>149</v>
      </c>
      <c r="B67" s="2">
        <v>45283</v>
      </c>
      <c r="C67" t="s">
        <v>31</v>
      </c>
      <c r="D67" t="s">
        <v>32</v>
      </c>
      <c r="E67" t="s">
        <v>29</v>
      </c>
      <c r="F67" t="s">
        <v>68</v>
      </c>
      <c r="G67">
        <v>1</v>
      </c>
      <c r="H67">
        <v>215000</v>
      </c>
      <c r="I67">
        <v>5</v>
      </c>
      <c r="J67" t="s">
        <v>21</v>
      </c>
      <c r="K67" s="14">
        <f t="shared" si="1"/>
        <v>204250</v>
      </c>
    </row>
    <row r="68" spans="1:11">
      <c r="A68" t="s">
        <v>150</v>
      </c>
      <c r="B68" s="2">
        <v>44989</v>
      </c>
      <c r="C68" t="s">
        <v>70</v>
      </c>
      <c r="D68" t="s">
        <v>65</v>
      </c>
      <c r="E68" t="s">
        <v>66</v>
      </c>
      <c r="F68" t="s">
        <v>12</v>
      </c>
      <c r="G68">
        <v>1</v>
      </c>
      <c r="H68">
        <v>295000</v>
      </c>
      <c r="I68">
        <v>20</v>
      </c>
      <c r="J68" t="s">
        <v>21</v>
      </c>
      <c r="K68" s="14">
        <f t="shared" si="1"/>
        <v>236000</v>
      </c>
    </row>
    <row r="69" spans="1:11">
      <c r="A69" t="s">
        <v>151</v>
      </c>
      <c r="B69" s="2">
        <v>45257</v>
      </c>
      <c r="C69" t="s">
        <v>27</v>
      </c>
      <c r="D69" t="s">
        <v>28</v>
      </c>
      <c r="E69" t="s">
        <v>29</v>
      </c>
      <c r="F69" t="s">
        <v>12</v>
      </c>
      <c r="G69">
        <v>1</v>
      </c>
      <c r="H69">
        <v>210000</v>
      </c>
      <c r="I69">
        <v>0</v>
      </c>
      <c r="J69" t="s">
        <v>16</v>
      </c>
      <c r="K69" s="14">
        <f t="shared" si="1"/>
        <v>210000</v>
      </c>
    </row>
    <row r="70" spans="1:11">
      <c r="A70" t="s">
        <v>152</v>
      </c>
      <c r="B70" s="2">
        <v>45013</v>
      </c>
      <c r="C70" t="s">
        <v>153</v>
      </c>
      <c r="D70" t="s">
        <v>83</v>
      </c>
      <c r="E70" t="s">
        <v>84</v>
      </c>
      <c r="F70" t="s">
        <v>12</v>
      </c>
      <c r="G70">
        <v>2</v>
      </c>
      <c r="H70">
        <v>395000</v>
      </c>
      <c r="I70">
        <v>5</v>
      </c>
      <c r="J70" t="s">
        <v>16</v>
      </c>
      <c r="K70" s="14">
        <f t="shared" si="1"/>
        <v>750500</v>
      </c>
    </row>
    <row r="71" spans="1:11">
      <c r="A71" t="s">
        <v>154</v>
      </c>
      <c r="B71" s="2">
        <v>44968</v>
      </c>
      <c r="C71" t="s">
        <v>90</v>
      </c>
      <c r="D71" t="s">
        <v>91</v>
      </c>
      <c r="E71" t="s">
        <v>11</v>
      </c>
      <c r="F71" t="s">
        <v>12</v>
      </c>
      <c r="G71">
        <v>1</v>
      </c>
      <c r="H71">
        <v>425000</v>
      </c>
      <c r="I71">
        <v>5</v>
      </c>
      <c r="J71" t="s">
        <v>71</v>
      </c>
      <c r="K71" s="14">
        <f t="shared" si="1"/>
        <v>403750</v>
      </c>
    </row>
    <row r="72" spans="1:11">
      <c r="A72" t="s">
        <v>155</v>
      </c>
      <c r="B72" s="2">
        <v>45004</v>
      </c>
      <c r="C72" t="s">
        <v>119</v>
      </c>
      <c r="D72" t="s">
        <v>120</v>
      </c>
      <c r="E72" t="s">
        <v>11</v>
      </c>
      <c r="F72" t="s">
        <v>68</v>
      </c>
      <c r="G72">
        <v>1</v>
      </c>
      <c r="H72">
        <v>440000</v>
      </c>
      <c r="I72">
        <v>5</v>
      </c>
      <c r="J72" t="s">
        <v>21</v>
      </c>
      <c r="K72" s="14">
        <f t="shared" si="1"/>
        <v>418000</v>
      </c>
    </row>
    <row r="73" spans="1:11">
      <c r="A73" t="s">
        <v>156</v>
      </c>
      <c r="B73" s="2">
        <v>45240</v>
      </c>
      <c r="C73" t="s">
        <v>15</v>
      </c>
      <c r="D73" t="s">
        <v>10</v>
      </c>
      <c r="E73" t="s">
        <v>11</v>
      </c>
      <c r="F73" t="s">
        <v>68</v>
      </c>
      <c r="G73">
        <v>4</v>
      </c>
      <c r="H73">
        <v>420000</v>
      </c>
      <c r="I73">
        <v>0</v>
      </c>
      <c r="J73" t="s">
        <v>21</v>
      </c>
      <c r="K73" s="14">
        <f t="shared" si="1"/>
        <v>1680000</v>
      </c>
    </row>
    <row r="74" spans="1:11">
      <c r="A74" t="s">
        <v>157</v>
      </c>
      <c r="B74" s="2">
        <v>44998</v>
      </c>
      <c r="C74" t="s">
        <v>64</v>
      </c>
      <c r="D74" t="s">
        <v>65</v>
      </c>
      <c r="E74" t="s">
        <v>66</v>
      </c>
      <c r="F74" t="s">
        <v>1268</v>
      </c>
      <c r="G74">
        <v>2</v>
      </c>
      <c r="H74">
        <v>295000</v>
      </c>
      <c r="I74">
        <v>10</v>
      </c>
      <c r="J74" t="s">
        <v>21</v>
      </c>
      <c r="K74" s="14">
        <f t="shared" si="1"/>
        <v>531000</v>
      </c>
    </row>
    <row r="75" spans="1:11">
      <c r="A75" t="s">
        <v>158</v>
      </c>
      <c r="B75" s="2">
        <v>45279</v>
      </c>
      <c r="C75" t="s">
        <v>94</v>
      </c>
      <c r="D75" t="s">
        <v>50</v>
      </c>
      <c r="E75" t="s">
        <v>29</v>
      </c>
      <c r="F75" t="s">
        <v>68</v>
      </c>
      <c r="G75">
        <v>1</v>
      </c>
      <c r="H75">
        <v>220000</v>
      </c>
      <c r="I75">
        <v>20</v>
      </c>
      <c r="J75" t="s">
        <v>13</v>
      </c>
      <c r="K75" s="14">
        <f t="shared" si="1"/>
        <v>176000</v>
      </c>
    </row>
    <row r="76" spans="1:11">
      <c r="A76" t="s">
        <v>159</v>
      </c>
      <c r="B76" s="2">
        <v>45135</v>
      </c>
      <c r="C76" t="s">
        <v>133</v>
      </c>
      <c r="D76" t="s">
        <v>102</v>
      </c>
      <c r="E76" t="s">
        <v>11</v>
      </c>
      <c r="F76" t="s">
        <v>62</v>
      </c>
      <c r="G76">
        <v>2</v>
      </c>
      <c r="H76">
        <v>430000</v>
      </c>
      <c r="I76">
        <v>0</v>
      </c>
      <c r="J76" t="s">
        <v>1268</v>
      </c>
      <c r="K76" s="14">
        <f t="shared" si="1"/>
        <v>860000</v>
      </c>
    </row>
    <row r="77" spans="1:11">
      <c r="A77" t="s">
        <v>160</v>
      </c>
      <c r="B77" s="2">
        <v>45172</v>
      </c>
      <c r="C77" t="s">
        <v>144</v>
      </c>
      <c r="D77" t="s">
        <v>142</v>
      </c>
      <c r="E77" t="s">
        <v>66</v>
      </c>
      <c r="F77" t="s">
        <v>12</v>
      </c>
      <c r="G77">
        <v>2</v>
      </c>
      <c r="H77">
        <v>330000</v>
      </c>
      <c r="I77">
        <v>0</v>
      </c>
      <c r="J77" t="s">
        <v>16</v>
      </c>
      <c r="K77" s="14">
        <f t="shared" si="1"/>
        <v>660000</v>
      </c>
    </row>
    <row r="78" spans="1:11">
      <c r="A78" t="s">
        <v>161</v>
      </c>
      <c r="B78" s="2">
        <v>45271</v>
      </c>
      <c r="C78" t="s">
        <v>162</v>
      </c>
      <c r="D78" t="s">
        <v>56</v>
      </c>
      <c r="E78" t="s">
        <v>57</v>
      </c>
      <c r="F78" t="s">
        <v>68</v>
      </c>
      <c r="G78">
        <v>1</v>
      </c>
      <c r="H78">
        <v>105000</v>
      </c>
      <c r="I78">
        <v>0</v>
      </c>
      <c r="J78" t="s">
        <v>71</v>
      </c>
      <c r="K78" s="14">
        <f t="shared" si="1"/>
        <v>105000</v>
      </c>
    </row>
    <row r="79" spans="1:11">
      <c r="A79" t="s">
        <v>163</v>
      </c>
      <c r="B79" s="2">
        <v>45119</v>
      </c>
      <c r="C79" t="s">
        <v>15</v>
      </c>
      <c r="D79" t="s">
        <v>10</v>
      </c>
      <c r="E79" t="s">
        <v>11</v>
      </c>
      <c r="F79" t="s">
        <v>68</v>
      </c>
      <c r="G79">
        <v>1</v>
      </c>
      <c r="H79">
        <v>420000</v>
      </c>
      <c r="I79">
        <v>0</v>
      </c>
      <c r="J79" t="s">
        <v>21</v>
      </c>
      <c r="K79" s="14">
        <f t="shared" si="1"/>
        <v>420000</v>
      </c>
    </row>
    <row r="80" spans="1:11">
      <c r="A80" t="s">
        <v>164</v>
      </c>
      <c r="B80" s="2">
        <v>45008</v>
      </c>
      <c r="C80" t="s">
        <v>70</v>
      </c>
      <c r="D80" t="s">
        <v>65</v>
      </c>
      <c r="E80" t="s">
        <v>66</v>
      </c>
      <c r="F80" t="s">
        <v>12</v>
      </c>
      <c r="G80">
        <v>4</v>
      </c>
      <c r="H80">
        <v>295000</v>
      </c>
      <c r="I80">
        <v>10</v>
      </c>
      <c r="J80" t="s">
        <v>16</v>
      </c>
      <c r="K80" s="14">
        <f t="shared" si="1"/>
        <v>1062000</v>
      </c>
    </row>
    <row r="81" spans="1:11">
      <c r="A81" t="s">
        <v>165</v>
      </c>
      <c r="B81" s="2">
        <v>45227</v>
      </c>
      <c r="C81" t="s">
        <v>153</v>
      </c>
      <c r="D81" t="s">
        <v>83</v>
      </c>
      <c r="E81" t="s">
        <v>84</v>
      </c>
      <c r="F81" t="s">
        <v>12</v>
      </c>
      <c r="G81">
        <v>2</v>
      </c>
      <c r="H81">
        <v>395000</v>
      </c>
      <c r="I81">
        <v>0</v>
      </c>
      <c r="J81" t="s">
        <v>16</v>
      </c>
      <c r="K81" s="14">
        <f t="shared" si="1"/>
        <v>790000</v>
      </c>
    </row>
    <row r="82" spans="1:11">
      <c r="A82" t="s">
        <v>166</v>
      </c>
      <c r="B82" s="2">
        <v>45261</v>
      </c>
      <c r="C82" t="s">
        <v>55</v>
      </c>
      <c r="D82" t="s">
        <v>56</v>
      </c>
      <c r="E82" t="s">
        <v>57</v>
      </c>
      <c r="F82" t="s">
        <v>62</v>
      </c>
      <c r="G82">
        <v>3</v>
      </c>
      <c r="H82">
        <v>105000</v>
      </c>
      <c r="I82">
        <v>0</v>
      </c>
      <c r="J82" t="s">
        <v>16</v>
      </c>
      <c r="K82" s="14">
        <f t="shared" si="1"/>
        <v>315000</v>
      </c>
    </row>
    <row r="83" spans="1:11">
      <c r="A83" t="s">
        <v>167</v>
      </c>
      <c r="B83" s="2">
        <v>45288</v>
      </c>
      <c r="C83" t="s">
        <v>27</v>
      </c>
      <c r="D83" t="s">
        <v>28</v>
      </c>
      <c r="E83" t="s">
        <v>29</v>
      </c>
      <c r="F83" t="s">
        <v>12</v>
      </c>
      <c r="G83">
        <v>1</v>
      </c>
      <c r="H83">
        <v>210000</v>
      </c>
      <c r="I83">
        <v>0</v>
      </c>
      <c r="J83" t="s">
        <v>21</v>
      </c>
      <c r="K83" s="14">
        <f t="shared" si="1"/>
        <v>210000</v>
      </c>
    </row>
    <row r="84" spans="1:11">
      <c r="A84" t="s">
        <v>168</v>
      </c>
      <c r="B84" s="2">
        <v>45200</v>
      </c>
      <c r="C84" t="s">
        <v>122</v>
      </c>
      <c r="D84" t="s">
        <v>123</v>
      </c>
      <c r="E84" t="s">
        <v>124</v>
      </c>
      <c r="F84" t="s">
        <v>12</v>
      </c>
      <c r="G84">
        <v>1</v>
      </c>
      <c r="H84">
        <v>228000</v>
      </c>
      <c r="I84">
        <v>0</v>
      </c>
      <c r="J84" t="s">
        <v>21</v>
      </c>
      <c r="K84" s="14">
        <f t="shared" si="1"/>
        <v>228000</v>
      </c>
    </row>
    <row r="85" spans="1:11">
      <c r="A85" t="s">
        <v>169</v>
      </c>
      <c r="B85" s="2">
        <v>45038</v>
      </c>
      <c r="C85" t="s">
        <v>64</v>
      </c>
      <c r="D85" t="s">
        <v>65</v>
      </c>
      <c r="E85" t="s">
        <v>66</v>
      </c>
      <c r="F85" t="s">
        <v>62</v>
      </c>
      <c r="G85">
        <v>2</v>
      </c>
      <c r="H85">
        <v>295000</v>
      </c>
      <c r="I85">
        <v>0</v>
      </c>
      <c r="J85" t="s">
        <v>41</v>
      </c>
      <c r="K85" s="14">
        <f t="shared" si="1"/>
        <v>590000</v>
      </c>
    </row>
    <row r="86" spans="1:11">
      <c r="A86" t="s">
        <v>170</v>
      </c>
      <c r="B86" s="2">
        <v>45218</v>
      </c>
      <c r="C86" t="s">
        <v>27</v>
      </c>
      <c r="D86" t="s">
        <v>28</v>
      </c>
      <c r="E86" t="s">
        <v>29</v>
      </c>
      <c r="F86" t="s">
        <v>12</v>
      </c>
      <c r="G86">
        <v>2</v>
      </c>
      <c r="H86">
        <v>210000</v>
      </c>
      <c r="I86">
        <v>0</v>
      </c>
      <c r="J86" t="s">
        <v>21</v>
      </c>
      <c r="K86" s="14">
        <f t="shared" si="1"/>
        <v>420000</v>
      </c>
    </row>
    <row r="87" spans="1:11">
      <c r="A87" t="s">
        <v>171</v>
      </c>
      <c r="B87" s="2">
        <v>45188</v>
      </c>
      <c r="C87" t="s">
        <v>94</v>
      </c>
      <c r="D87" t="s">
        <v>50</v>
      </c>
      <c r="E87" t="s">
        <v>29</v>
      </c>
      <c r="F87" t="s">
        <v>68</v>
      </c>
      <c r="G87">
        <v>2</v>
      </c>
      <c r="H87">
        <v>220000</v>
      </c>
      <c r="I87">
        <v>5</v>
      </c>
      <c r="J87" t="s">
        <v>16</v>
      </c>
      <c r="K87" s="14">
        <f t="shared" si="1"/>
        <v>418000</v>
      </c>
    </row>
    <row r="88" spans="1:11">
      <c r="A88" t="s">
        <v>172</v>
      </c>
      <c r="B88" s="2">
        <v>45215</v>
      </c>
      <c r="C88" t="s">
        <v>173</v>
      </c>
      <c r="D88" t="s">
        <v>39</v>
      </c>
      <c r="E88" t="s">
        <v>40</v>
      </c>
      <c r="F88" t="s">
        <v>68</v>
      </c>
      <c r="G88">
        <v>-1</v>
      </c>
      <c r="H88">
        <v>320000</v>
      </c>
      <c r="I88">
        <v>20</v>
      </c>
      <c r="J88" t="s">
        <v>16</v>
      </c>
      <c r="K88" s="14">
        <f t="shared" si="1"/>
        <v>-256000</v>
      </c>
    </row>
    <row r="89" spans="1:11">
      <c r="A89" t="s">
        <v>174</v>
      </c>
      <c r="B89" s="2">
        <v>45013</v>
      </c>
      <c r="C89" t="s">
        <v>88</v>
      </c>
      <c r="D89" t="s">
        <v>10</v>
      </c>
      <c r="E89" t="s">
        <v>11</v>
      </c>
      <c r="F89" t="s">
        <v>62</v>
      </c>
      <c r="G89">
        <v>2</v>
      </c>
      <c r="H89">
        <v>420000</v>
      </c>
      <c r="I89">
        <v>5</v>
      </c>
      <c r="J89" t="s">
        <v>21</v>
      </c>
      <c r="K89" s="14">
        <f t="shared" si="1"/>
        <v>798000</v>
      </c>
    </row>
    <row r="90" spans="1:11">
      <c r="A90" t="s">
        <v>175</v>
      </c>
      <c r="B90" s="2">
        <v>44990</v>
      </c>
      <c r="C90" t="s">
        <v>131</v>
      </c>
      <c r="D90" t="s">
        <v>132</v>
      </c>
      <c r="E90" t="s">
        <v>20</v>
      </c>
      <c r="F90" t="s">
        <v>12</v>
      </c>
      <c r="G90">
        <v>2</v>
      </c>
      <c r="H90">
        <v>280000</v>
      </c>
      <c r="I90">
        <v>15</v>
      </c>
      <c r="J90" t="s">
        <v>13</v>
      </c>
      <c r="K90" s="14">
        <f t="shared" si="1"/>
        <v>476000</v>
      </c>
    </row>
    <row r="91" spans="1:11">
      <c r="A91" t="s">
        <v>176</v>
      </c>
      <c r="B91" s="2">
        <v>45134</v>
      </c>
      <c r="C91" t="s">
        <v>82</v>
      </c>
      <c r="D91" t="s">
        <v>83</v>
      </c>
      <c r="E91" t="s">
        <v>84</v>
      </c>
      <c r="F91" t="s">
        <v>68</v>
      </c>
      <c r="G91">
        <v>1</v>
      </c>
      <c r="H91">
        <v>395000</v>
      </c>
      <c r="I91">
        <v>0</v>
      </c>
      <c r="J91" t="s">
        <v>71</v>
      </c>
      <c r="K91" s="14">
        <f t="shared" si="1"/>
        <v>395000</v>
      </c>
    </row>
    <row r="92" spans="1:11">
      <c r="A92" t="s">
        <v>177</v>
      </c>
      <c r="B92" s="2">
        <v>45109</v>
      </c>
      <c r="C92" t="s">
        <v>90</v>
      </c>
      <c r="D92" t="s">
        <v>91</v>
      </c>
      <c r="E92" t="s">
        <v>11</v>
      </c>
      <c r="F92" t="s">
        <v>12</v>
      </c>
      <c r="G92">
        <v>4</v>
      </c>
      <c r="H92">
        <v>425000</v>
      </c>
      <c r="I92">
        <v>0</v>
      </c>
      <c r="J92" t="s">
        <v>13</v>
      </c>
      <c r="K92" s="14">
        <f t="shared" si="1"/>
        <v>1700000</v>
      </c>
    </row>
    <row r="93" spans="1:11">
      <c r="A93" t="s">
        <v>178</v>
      </c>
      <c r="B93" s="2">
        <v>44984</v>
      </c>
      <c r="C93" t="s">
        <v>131</v>
      </c>
      <c r="D93" t="s">
        <v>132</v>
      </c>
      <c r="E93" t="s">
        <v>20</v>
      </c>
      <c r="F93" t="s">
        <v>12</v>
      </c>
      <c r="G93">
        <v>3</v>
      </c>
      <c r="H93">
        <v>280000</v>
      </c>
      <c r="I93">
        <v>5</v>
      </c>
      <c r="J93" t="s">
        <v>16</v>
      </c>
      <c r="K93" s="14">
        <f t="shared" si="1"/>
        <v>798000</v>
      </c>
    </row>
    <row r="94" spans="1:11">
      <c r="A94" t="s">
        <v>179</v>
      </c>
      <c r="B94" s="2">
        <v>45253</v>
      </c>
      <c r="C94" t="s">
        <v>75</v>
      </c>
      <c r="D94" t="s">
        <v>32</v>
      </c>
      <c r="E94" t="s">
        <v>29</v>
      </c>
      <c r="F94" t="s">
        <v>12</v>
      </c>
      <c r="G94">
        <v>1</v>
      </c>
      <c r="H94">
        <v>215000</v>
      </c>
      <c r="I94">
        <v>0</v>
      </c>
      <c r="J94" t="s">
        <v>21</v>
      </c>
      <c r="K94" s="14">
        <f t="shared" si="1"/>
        <v>215000</v>
      </c>
    </row>
    <row r="95" spans="1:11">
      <c r="A95" t="s">
        <v>180</v>
      </c>
      <c r="B95" s="2">
        <v>45125</v>
      </c>
      <c r="C95" t="s">
        <v>75</v>
      </c>
      <c r="D95" t="s">
        <v>32</v>
      </c>
      <c r="E95" t="s">
        <v>29</v>
      </c>
      <c r="F95" t="s">
        <v>12</v>
      </c>
      <c r="G95">
        <v>3</v>
      </c>
      <c r="H95">
        <v>215000</v>
      </c>
      <c r="I95">
        <v>10</v>
      </c>
      <c r="J95" t="s">
        <v>16</v>
      </c>
      <c r="K95" s="14">
        <f t="shared" si="1"/>
        <v>580500</v>
      </c>
    </row>
    <row r="96" spans="1:11">
      <c r="A96" t="s">
        <v>181</v>
      </c>
      <c r="B96" s="2">
        <v>45182</v>
      </c>
      <c r="C96" t="s">
        <v>70</v>
      </c>
      <c r="D96" t="s">
        <v>65</v>
      </c>
      <c r="E96" t="s">
        <v>66</v>
      </c>
      <c r="F96" t="s">
        <v>12</v>
      </c>
      <c r="G96">
        <v>1</v>
      </c>
      <c r="H96">
        <v>295000</v>
      </c>
      <c r="I96">
        <v>0</v>
      </c>
      <c r="J96" t="s">
        <v>16</v>
      </c>
      <c r="K96" s="14">
        <f t="shared" si="1"/>
        <v>295000</v>
      </c>
    </row>
    <row r="97" spans="1:11">
      <c r="A97" t="s">
        <v>182</v>
      </c>
      <c r="B97" s="2">
        <v>45093</v>
      </c>
      <c r="C97" t="s">
        <v>250</v>
      </c>
      <c r="D97" t="s">
        <v>53</v>
      </c>
      <c r="E97" t="s">
        <v>36</v>
      </c>
      <c r="F97" t="s">
        <v>62</v>
      </c>
      <c r="G97">
        <v>5</v>
      </c>
      <c r="H97">
        <v>195000</v>
      </c>
      <c r="I97">
        <v>0</v>
      </c>
      <c r="J97" t="s">
        <v>41</v>
      </c>
      <c r="K97" s="14">
        <f t="shared" si="1"/>
        <v>975000</v>
      </c>
    </row>
    <row r="98" spans="1:11">
      <c r="A98" t="s">
        <v>129</v>
      </c>
      <c r="B98" s="2">
        <v>45016</v>
      </c>
      <c r="C98" t="s">
        <v>43</v>
      </c>
      <c r="D98" t="s">
        <v>44</v>
      </c>
      <c r="E98" t="s">
        <v>29</v>
      </c>
      <c r="F98" t="s">
        <v>68</v>
      </c>
      <c r="G98">
        <v>5</v>
      </c>
      <c r="H98">
        <v>235000</v>
      </c>
      <c r="I98">
        <v>0</v>
      </c>
      <c r="J98" t="s">
        <v>41</v>
      </c>
      <c r="K98" s="14">
        <f t="shared" si="1"/>
        <v>1175000</v>
      </c>
    </row>
    <row r="99" spans="1:11">
      <c r="A99" t="s">
        <v>183</v>
      </c>
      <c r="B99" s="2">
        <v>45131</v>
      </c>
      <c r="C99" t="s">
        <v>184</v>
      </c>
      <c r="D99" t="s">
        <v>110</v>
      </c>
      <c r="E99" t="s">
        <v>66</v>
      </c>
      <c r="F99" t="s">
        <v>12</v>
      </c>
      <c r="G99">
        <v>1</v>
      </c>
      <c r="H99">
        <v>335000</v>
      </c>
      <c r="I99">
        <v>0</v>
      </c>
      <c r="J99" t="s">
        <v>16</v>
      </c>
      <c r="K99" s="14">
        <f t="shared" si="1"/>
        <v>335000</v>
      </c>
    </row>
    <row r="100" spans="1:11">
      <c r="A100" t="s">
        <v>185</v>
      </c>
      <c r="B100" s="2">
        <v>45089</v>
      </c>
      <c r="C100" t="s">
        <v>15</v>
      </c>
      <c r="D100" t="s">
        <v>10</v>
      </c>
      <c r="E100" t="s">
        <v>11</v>
      </c>
      <c r="F100" t="s">
        <v>68</v>
      </c>
      <c r="G100">
        <v>3</v>
      </c>
      <c r="H100">
        <v>420000</v>
      </c>
      <c r="I100">
        <v>0</v>
      </c>
      <c r="J100" t="s">
        <v>16</v>
      </c>
      <c r="K100" s="14">
        <f t="shared" si="1"/>
        <v>1260000</v>
      </c>
    </row>
    <row r="101" spans="1:11">
      <c r="A101" t="s">
        <v>186</v>
      </c>
      <c r="B101" s="2">
        <v>45012</v>
      </c>
      <c r="C101" t="s">
        <v>162</v>
      </c>
      <c r="D101" t="s">
        <v>56</v>
      </c>
      <c r="E101" t="s">
        <v>57</v>
      </c>
      <c r="F101" t="s">
        <v>68</v>
      </c>
      <c r="G101">
        <v>3</v>
      </c>
      <c r="H101">
        <v>105000</v>
      </c>
      <c r="I101">
        <v>10</v>
      </c>
      <c r="J101" t="s">
        <v>21</v>
      </c>
      <c r="K101" s="14">
        <f t="shared" si="1"/>
        <v>283500</v>
      </c>
    </row>
    <row r="102" spans="1:11">
      <c r="A102" t="s">
        <v>187</v>
      </c>
      <c r="B102" s="2">
        <v>45165</v>
      </c>
      <c r="C102" t="s">
        <v>133</v>
      </c>
      <c r="D102" t="s">
        <v>102</v>
      </c>
      <c r="E102" t="s">
        <v>11</v>
      </c>
      <c r="F102" t="s">
        <v>62</v>
      </c>
      <c r="G102">
        <v>1</v>
      </c>
      <c r="H102">
        <v>430000</v>
      </c>
      <c r="I102">
        <v>0</v>
      </c>
      <c r="J102" t="s">
        <v>21</v>
      </c>
      <c r="K102" s="14">
        <f t="shared" si="1"/>
        <v>430000</v>
      </c>
    </row>
    <row r="103" spans="1:11">
      <c r="A103" t="s">
        <v>188</v>
      </c>
      <c r="B103" s="2">
        <v>45244</v>
      </c>
      <c r="C103" t="s">
        <v>101</v>
      </c>
      <c r="D103" t="s">
        <v>102</v>
      </c>
      <c r="E103" t="s">
        <v>11</v>
      </c>
      <c r="F103" t="s">
        <v>12</v>
      </c>
      <c r="G103">
        <v>3</v>
      </c>
      <c r="H103">
        <v>430000</v>
      </c>
      <c r="I103">
        <v>10</v>
      </c>
      <c r="J103" t="s">
        <v>16</v>
      </c>
      <c r="K103" s="14">
        <f t="shared" si="1"/>
        <v>1161000</v>
      </c>
    </row>
    <row r="104" spans="1:11">
      <c r="A104" t="s">
        <v>189</v>
      </c>
      <c r="B104" s="2">
        <v>45116</v>
      </c>
      <c r="C104" t="s">
        <v>60</v>
      </c>
      <c r="D104" t="s">
        <v>61</v>
      </c>
      <c r="E104" t="s">
        <v>20</v>
      </c>
      <c r="F104" t="s">
        <v>1268</v>
      </c>
      <c r="G104">
        <v>3</v>
      </c>
      <c r="H104">
        <v>260000</v>
      </c>
      <c r="I104">
        <v>0</v>
      </c>
      <c r="J104" t="s">
        <v>41</v>
      </c>
      <c r="K104" s="14">
        <f t="shared" si="1"/>
        <v>780000</v>
      </c>
    </row>
    <row r="105" spans="1:11">
      <c r="A105" t="s">
        <v>190</v>
      </c>
      <c r="B105" s="2">
        <v>44940</v>
      </c>
      <c r="C105" t="s">
        <v>94</v>
      </c>
      <c r="D105" t="s">
        <v>50</v>
      </c>
      <c r="E105" t="s">
        <v>29</v>
      </c>
      <c r="F105" t="s">
        <v>68</v>
      </c>
      <c r="G105">
        <v>5</v>
      </c>
      <c r="H105">
        <v>220000</v>
      </c>
      <c r="I105">
        <v>0</v>
      </c>
      <c r="J105" t="s">
        <v>16</v>
      </c>
      <c r="K105" s="14">
        <f t="shared" si="1"/>
        <v>1100000</v>
      </c>
    </row>
    <row r="106" spans="1:11">
      <c r="A106" t="s">
        <v>191</v>
      </c>
      <c r="B106" s="2">
        <v>45009</v>
      </c>
      <c r="C106" t="s">
        <v>144</v>
      </c>
      <c r="D106" t="s">
        <v>142</v>
      </c>
      <c r="E106" t="s">
        <v>66</v>
      </c>
      <c r="F106" t="s">
        <v>12</v>
      </c>
      <c r="G106">
        <v>1</v>
      </c>
      <c r="H106">
        <v>330000</v>
      </c>
      <c r="I106">
        <v>5</v>
      </c>
      <c r="J106" t="s">
        <v>71</v>
      </c>
      <c r="K106" s="14">
        <f t="shared" si="1"/>
        <v>313500</v>
      </c>
    </row>
    <row r="107" spans="1:11">
      <c r="A107" t="s">
        <v>192</v>
      </c>
      <c r="B107" s="2">
        <v>45171</v>
      </c>
      <c r="C107" t="s">
        <v>122</v>
      </c>
      <c r="D107" t="s">
        <v>123</v>
      </c>
      <c r="E107" t="s">
        <v>124</v>
      </c>
      <c r="F107" t="s">
        <v>12</v>
      </c>
      <c r="G107">
        <v>2</v>
      </c>
      <c r="H107">
        <v>228000</v>
      </c>
      <c r="I107">
        <v>15</v>
      </c>
      <c r="J107" t="s">
        <v>71</v>
      </c>
      <c r="K107" s="14">
        <f t="shared" si="1"/>
        <v>387600</v>
      </c>
    </row>
    <row r="108" spans="1:11">
      <c r="A108" t="s">
        <v>193</v>
      </c>
      <c r="B108" s="2">
        <v>44999</v>
      </c>
      <c r="C108" t="s">
        <v>122</v>
      </c>
      <c r="D108" t="s">
        <v>123</v>
      </c>
      <c r="E108" t="s">
        <v>124</v>
      </c>
      <c r="F108" t="s">
        <v>12</v>
      </c>
      <c r="G108">
        <v>1</v>
      </c>
      <c r="H108">
        <v>228000</v>
      </c>
      <c r="I108">
        <v>0</v>
      </c>
      <c r="J108" t="s">
        <v>16</v>
      </c>
      <c r="K108" s="14">
        <f t="shared" si="1"/>
        <v>228000</v>
      </c>
    </row>
    <row r="109" spans="1:11">
      <c r="A109" t="s">
        <v>194</v>
      </c>
      <c r="B109" s="2">
        <v>45209</v>
      </c>
      <c r="C109" t="s">
        <v>108</v>
      </c>
      <c r="D109" t="s">
        <v>56</v>
      </c>
      <c r="E109" t="s">
        <v>57</v>
      </c>
      <c r="F109" t="s">
        <v>12</v>
      </c>
      <c r="G109">
        <v>4</v>
      </c>
      <c r="H109">
        <v>105000</v>
      </c>
      <c r="I109">
        <v>0</v>
      </c>
      <c r="J109" t="s">
        <v>21</v>
      </c>
      <c r="K109" s="14">
        <f t="shared" si="1"/>
        <v>420000</v>
      </c>
    </row>
    <row r="110" spans="1:11">
      <c r="A110" t="s">
        <v>195</v>
      </c>
      <c r="B110" s="2">
        <v>45155</v>
      </c>
      <c r="C110" t="s">
        <v>94</v>
      </c>
      <c r="D110" t="s">
        <v>50</v>
      </c>
      <c r="E110" t="s">
        <v>29</v>
      </c>
      <c r="F110" t="s">
        <v>68</v>
      </c>
      <c r="G110">
        <v>1</v>
      </c>
      <c r="H110">
        <v>220000</v>
      </c>
      <c r="I110">
        <v>5</v>
      </c>
      <c r="J110" t="s">
        <v>16</v>
      </c>
      <c r="K110" s="14">
        <f t="shared" si="1"/>
        <v>209000</v>
      </c>
    </row>
    <row r="111" spans="1:11">
      <c r="A111" t="s">
        <v>196</v>
      </c>
      <c r="B111" s="2">
        <v>44994</v>
      </c>
      <c r="C111" t="s">
        <v>55</v>
      </c>
      <c r="D111" t="s">
        <v>56</v>
      </c>
      <c r="E111" t="s">
        <v>57</v>
      </c>
      <c r="F111" t="s">
        <v>62</v>
      </c>
      <c r="G111">
        <v>1</v>
      </c>
      <c r="H111">
        <v>105000</v>
      </c>
      <c r="I111">
        <v>20</v>
      </c>
      <c r="J111" t="s">
        <v>21</v>
      </c>
      <c r="K111" s="14">
        <f t="shared" si="1"/>
        <v>84000</v>
      </c>
    </row>
    <row r="112" spans="1:11">
      <c r="A112" t="s">
        <v>197</v>
      </c>
      <c r="B112" s="2">
        <v>45234</v>
      </c>
      <c r="C112" t="s">
        <v>162</v>
      </c>
      <c r="D112" t="s">
        <v>56</v>
      </c>
      <c r="E112" t="s">
        <v>57</v>
      </c>
      <c r="F112" t="s">
        <v>68</v>
      </c>
      <c r="G112">
        <v>2</v>
      </c>
      <c r="H112">
        <v>105000</v>
      </c>
      <c r="I112">
        <v>0</v>
      </c>
      <c r="J112" t="s">
        <v>71</v>
      </c>
      <c r="K112" s="14">
        <f t="shared" si="1"/>
        <v>210000</v>
      </c>
    </row>
    <row r="113" spans="1:11">
      <c r="A113" t="s">
        <v>198</v>
      </c>
      <c r="B113" s="2">
        <v>45013</v>
      </c>
      <c r="C113" t="s">
        <v>55</v>
      </c>
      <c r="D113" t="s">
        <v>56</v>
      </c>
      <c r="E113" t="s">
        <v>57</v>
      </c>
      <c r="F113" t="s">
        <v>62</v>
      </c>
      <c r="G113">
        <v>3</v>
      </c>
      <c r="H113">
        <v>105000</v>
      </c>
      <c r="I113">
        <v>0</v>
      </c>
      <c r="J113" t="s">
        <v>16</v>
      </c>
      <c r="K113" s="14">
        <f t="shared" si="1"/>
        <v>315000</v>
      </c>
    </row>
    <row r="114" spans="1:11">
      <c r="A114" t="s">
        <v>199</v>
      </c>
      <c r="B114" s="2">
        <v>45102</v>
      </c>
      <c r="C114" t="s">
        <v>133</v>
      </c>
      <c r="D114" t="s">
        <v>102</v>
      </c>
      <c r="E114" t="s">
        <v>11</v>
      </c>
      <c r="F114" t="s">
        <v>62</v>
      </c>
      <c r="G114">
        <v>1</v>
      </c>
      <c r="H114">
        <v>430000</v>
      </c>
      <c r="I114">
        <v>0</v>
      </c>
      <c r="J114" t="s">
        <v>16</v>
      </c>
      <c r="K114" s="14">
        <f t="shared" si="1"/>
        <v>430000</v>
      </c>
    </row>
    <row r="115" spans="1:11">
      <c r="A115" t="s">
        <v>200</v>
      </c>
      <c r="B115" s="2">
        <v>45283</v>
      </c>
      <c r="C115" t="s">
        <v>82</v>
      </c>
      <c r="D115" t="s">
        <v>83</v>
      </c>
      <c r="E115" t="s">
        <v>84</v>
      </c>
      <c r="F115" t="s">
        <v>68</v>
      </c>
      <c r="G115">
        <v>4</v>
      </c>
      <c r="H115">
        <v>395000</v>
      </c>
      <c r="I115">
        <v>0</v>
      </c>
      <c r="J115" t="s">
        <v>16</v>
      </c>
      <c r="K115" s="14">
        <f t="shared" si="1"/>
        <v>1580000</v>
      </c>
    </row>
    <row r="116" spans="1:11">
      <c r="A116" t="s">
        <v>201</v>
      </c>
      <c r="B116" s="2">
        <v>45281</v>
      </c>
      <c r="C116" t="s">
        <v>18</v>
      </c>
      <c r="D116" t="s">
        <v>19</v>
      </c>
      <c r="E116" t="s">
        <v>20</v>
      </c>
      <c r="F116" t="s">
        <v>12</v>
      </c>
      <c r="G116">
        <v>4</v>
      </c>
      <c r="H116">
        <v>265000</v>
      </c>
      <c r="I116">
        <v>0</v>
      </c>
      <c r="J116" t="s">
        <v>21</v>
      </c>
      <c r="K116" s="14">
        <f t="shared" si="1"/>
        <v>1060000</v>
      </c>
    </row>
    <row r="117" spans="1:11">
      <c r="A117" t="s">
        <v>202</v>
      </c>
      <c r="B117" s="2">
        <v>45016</v>
      </c>
      <c r="C117" t="s">
        <v>15</v>
      </c>
      <c r="D117" t="s">
        <v>10</v>
      </c>
      <c r="E117" t="s">
        <v>11</v>
      </c>
      <c r="F117" t="s">
        <v>68</v>
      </c>
      <c r="G117">
        <v>2</v>
      </c>
      <c r="H117">
        <v>420000</v>
      </c>
      <c r="I117">
        <v>10</v>
      </c>
      <c r="J117" t="s">
        <v>16</v>
      </c>
      <c r="K117" s="14">
        <f t="shared" si="1"/>
        <v>756000</v>
      </c>
    </row>
    <row r="118" spans="1:11">
      <c r="A118" t="s">
        <v>203</v>
      </c>
      <c r="B118" s="2">
        <v>45056</v>
      </c>
      <c r="C118" t="s">
        <v>144</v>
      </c>
      <c r="D118" t="s">
        <v>142</v>
      </c>
      <c r="E118" t="s">
        <v>66</v>
      </c>
      <c r="F118" t="s">
        <v>12</v>
      </c>
      <c r="G118">
        <v>1</v>
      </c>
      <c r="H118">
        <v>330000</v>
      </c>
      <c r="I118">
        <v>5</v>
      </c>
      <c r="J118" t="s">
        <v>16</v>
      </c>
      <c r="K118" s="14">
        <f t="shared" si="1"/>
        <v>313500</v>
      </c>
    </row>
    <row r="119" spans="1:11">
      <c r="A119" t="s">
        <v>204</v>
      </c>
      <c r="B119" s="2">
        <v>45068</v>
      </c>
      <c r="C119" t="s">
        <v>139</v>
      </c>
      <c r="D119" t="s">
        <v>61</v>
      </c>
      <c r="E119" t="s">
        <v>20</v>
      </c>
      <c r="F119" t="s">
        <v>12</v>
      </c>
      <c r="G119">
        <v>2</v>
      </c>
      <c r="H119">
        <v>260000</v>
      </c>
      <c r="I119">
        <v>0</v>
      </c>
      <c r="J119" t="s">
        <v>71</v>
      </c>
      <c r="K119" s="14">
        <f t="shared" si="1"/>
        <v>520000</v>
      </c>
    </row>
    <row r="120" spans="1:11">
      <c r="A120" t="s">
        <v>205</v>
      </c>
      <c r="B120" s="2">
        <v>45014</v>
      </c>
      <c r="C120" t="s">
        <v>64</v>
      </c>
      <c r="D120" t="s">
        <v>65</v>
      </c>
      <c r="E120" t="s">
        <v>66</v>
      </c>
      <c r="F120" t="s">
        <v>62</v>
      </c>
      <c r="G120">
        <v>1</v>
      </c>
      <c r="H120">
        <v>295000</v>
      </c>
      <c r="I120">
        <v>0</v>
      </c>
      <c r="J120" t="s">
        <v>71</v>
      </c>
      <c r="K120" s="14">
        <f t="shared" si="1"/>
        <v>295000</v>
      </c>
    </row>
    <row r="121" spans="1:11">
      <c r="A121" t="s">
        <v>206</v>
      </c>
      <c r="B121" s="2">
        <v>44960</v>
      </c>
      <c r="C121" t="s">
        <v>94</v>
      </c>
      <c r="D121" t="s">
        <v>50</v>
      </c>
      <c r="E121" t="s">
        <v>29</v>
      </c>
      <c r="F121" t="s">
        <v>68</v>
      </c>
      <c r="G121">
        <v>3</v>
      </c>
      <c r="H121">
        <v>220000</v>
      </c>
      <c r="I121">
        <v>0</v>
      </c>
      <c r="J121" t="s">
        <v>41</v>
      </c>
      <c r="K121" s="14">
        <f t="shared" si="1"/>
        <v>660000</v>
      </c>
    </row>
    <row r="122" spans="1:11">
      <c r="A122" t="s">
        <v>207</v>
      </c>
      <c r="B122" s="2">
        <v>45179</v>
      </c>
      <c r="C122" t="s">
        <v>23</v>
      </c>
      <c r="D122" t="s">
        <v>24</v>
      </c>
      <c r="E122" t="s">
        <v>25</v>
      </c>
      <c r="F122" t="s">
        <v>12</v>
      </c>
      <c r="G122">
        <v>3</v>
      </c>
      <c r="H122">
        <v>182000</v>
      </c>
      <c r="I122">
        <v>10</v>
      </c>
      <c r="J122" t="s">
        <v>21</v>
      </c>
      <c r="K122" s="14">
        <f t="shared" si="1"/>
        <v>491400</v>
      </c>
    </row>
    <row r="123" spans="1:11">
      <c r="A123" t="s">
        <v>208</v>
      </c>
      <c r="B123" s="2">
        <v>45125</v>
      </c>
      <c r="C123" t="s">
        <v>90</v>
      </c>
      <c r="D123" t="s">
        <v>91</v>
      </c>
      <c r="E123" t="s">
        <v>11</v>
      </c>
      <c r="F123" t="s">
        <v>12</v>
      </c>
      <c r="G123">
        <v>1</v>
      </c>
      <c r="H123">
        <v>425000</v>
      </c>
      <c r="I123">
        <v>0</v>
      </c>
      <c r="J123" t="s">
        <v>16</v>
      </c>
      <c r="K123" s="14">
        <f t="shared" si="1"/>
        <v>425000</v>
      </c>
    </row>
    <row r="124" spans="1:11">
      <c r="A124" t="s">
        <v>209</v>
      </c>
      <c r="B124" s="2">
        <v>45268</v>
      </c>
      <c r="C124" t="s">
        <v>162</v>
      </c>
      <c r="D124" t="s">
        <v>56</v>
      </c>
      <c r="E124" t="s">
        <v>57</v>
      </c>
      <c r="F124" t="s">
        <v>68</v>
      </c>
      <c r="G124">
        <v>1</v>
      </c>
      <c r="H124">
        <v>105000</v>
      </c>
      <c r="I124">
        <v>0</v>
      </c>
      <c r="J124" t="s">
        <v>21</v>
      </c>
      <c r="K124" s="14">
        <f t="shared" ref="K124:K185" si="2">G124*H124*(1-I124/100)</f>
        <v>105000</v>
      </c>
    </row>
    <row r="125" spans="1:11">
      <c r="A125" t="s">
        <v>210</v>
      </c>
      <c r="B125" s="2">
        <v>44958</v>
      </c>
      <c r="C125" t="s">
        <v>75</v>
      </c>
      <c r="D125" t="s">
        <v>32</v>
      </c>
      <c r="E125" t="s">
        <v>29</v>
      </c>
      <c r="F125" t="s">
        <v>1268</v>
      </c>
      <c r="G125">
        <v>2</v>
      </c>
      <c r="H125">
        <v>215000</v>
      </c>
      <c r="I125">
        <v>0</v>
      </c>
      <c r="J125" t="s">
        <v>21</v>
      </c>
      <c r="K125" s="14">
        <f t="shared" si="2"/>
        <v>430000</v>
      </c>
    </row>
    <row r="126" spans="1:11">
      <c r="A126" t="s">
        <v>211</v>
      </c>
      <c r="B126" s="2">
        <v>45053</v>
      </c>
      <c r="C126" t="s">
        <v>104</v>
      </c>
      <c r="D126" t="s">
        <v>105</v>
      </c>
      <c r="E126" t="s">
        <v>29</v>
      </c>
      <c r="F126" t="s">
        <v>12</v>
      </c>
      <c r="G126">
        <v>3</v>
      </c>
      <c r="H126">
        <v>210000</v>
      </c>
      <c r="I126">
        <v>5</v>
      </c>
      <c r="J126" t="s">
        <v>16</v>
      </c>
      <c r="K126" s="14">
        <f t="shared" si="2"/>
        <v>598500</v>
      </c>
    </row>
    <row r="127" spans="1:11">
      <c r="A127" t="s">
        <v>212</v>
      </c>
      <c r="B127" s="2">
        <v>44970</v>
      </c>
      <c r="C127" t="s">
        <v>34</v>
      </c>
      <c r="D127" t="s">
        <v>35</v>
      </c>
      <c r="E127" t="s">
        <v>36</v>
      </c>
      <c r="F127" t="s">
        <v>12</v>
      </c>
      <c r="G127">
        <v>3</v>
      </c>
      <c r="H127">
        <v>198000</v>
      </c>
      <c r="I127">
        <v>0</v>
      </c>
      <c r="J127" t="s">
        <v>21</v>
      </c>
      <c r="K127" s="14">
        <f t="shared" si="2"/>
        <v>594000</v>
      </c>
    </row>
    <row r="128" spans="1:11">
      <c r="A128" t="s">
        <v>213</v>
      </c>
      <c r="B128" s="2">
        <v>45249</v>
      </c>
      <c r="C128" t="s">
        <v>108</v>
      </c>
      <c r="D128" t="s">
        <v>56</v>
      </c>
      <c r="E128" t="s">
        <v>57</v>
      </c>
      <c r="F128" t="s">
        <v>12</v>
      </c>
      <c r="G128">
        <v>3</v>
      </c>
      <c r="H128">
        <v>105000</v>
      </c>
      <c r="I128">
        <v>0</v>
      </c>
      <c r="J128" t="s">
        <v>21</v>
      </c>
      <c r="K128" s="14">
        <f t="shared" si="2"/>
        <v>315000</v>
      </c>
    </row>
    <row r="129" spans="1:11">
      <c r="A129" t="s">
        <v>214</v>
      </c>
      <c r="B129" s="2">
        <v>45090</v>
      </c>
      <c r="C129" t="s">
        <v>215</v>
      </c>
      <c r="D129" t="s">
        <v>10</v>
      </c>
      <c r="E129" t="s">
        <v>11</v>
      </c>
      <c r="F129" t="s">
        <v>12</v>
      </c>
      <c r="G129">
        <v>-2</v>
      </c>
      <c r="H129">
        <v>420000</v>
      </c>
      <c r="I129">
        <v>0</v>
      </c>
      <c r="J129" t="s">
        <v>16</v>
      </c>
      <c r="K129" s="14">
        <f t="shared" si="2"/>
        <v>-840000</v>
      </c>
    </row>
    <row r="130" spans="1:11">
      <c r="A130" t="s">
        <v>216</v>
      </c>
      <c r="B130" s="2">
        <v>45109</v>
      </c>
      <c r="C130" t="s">
        <v>119</v>
      </c>
      <c r="D130" t="s">
        <v>120</v>
      </c>
      <c r="E130" t="s">
        <v>11</v>
      </c>
      <c r="F130" t="s">
        <v>68</v>
      </c>
      <c r="G130">
        <v>1</v>
      </c>
      <c r="H130">
        <v>440000</v>
      </c>
      <c r="I130">
        <v>0</v>
      </c>
      <c r="J130" t="s">
        <v>41</v>
      </c>
      <c r="K130" s="14">
        <f t="shared" si="2"/>
        <v>440000</v>
      </c>
    </row>
    <row r="131" spans="1:11">
      <c r="A131" t="s">
        <v>217</v>
      </c>
      <c r="B131" s="2">
        <v>45008</v>
      </c>
      <c r="C131" t="s">
        <v>31</v>
      </c>
      <c r="D131" t="s">
        <v>32</v>
      </c>
      <c r="E131" t="s">
        <v>29</v>
      </c>
      <c r="F131" t="s">
        <v>68</v>
      </c>
      <c r="G131">
        <v>1</v>
      </c>
      <c r="H131">
        <v>215000</v>
      </c>
      <c r="I131">
        <v>0</v>
      </c>
      <c r="J131" t="s">
        <v>41</v>
      </c>
      <c r="K131" s="14">
        <f t="shared" si="2"/>
        <v>215000</v>
      </c>
    </row>
    <row r="132" spans="1:11">
      <c r="A132" t="s">
        <v>218</v>
      </c>
      <c r="B132" s="2">
        <v>45234</v>
      </c>
      <c r="C132" t="s">
        <v>101</v>
      </c>
      <c r="D132" t="s">
        <v>102</v>
      </c>
      <c r="E132" t="s">
        <v>11</v>
      </c>
      <c r="F132" t="s">
        <v>12</v>
      </c>
      <c r="G132">
        <v>2</v>
      </c>
      <c r="H132">
        <v>430000</v>
      </c>
      <c r="I132">
        <v>0</v>
      </c>
      <c r="J132" t="s">
        <v>71</v>
      </c>
      <c r="K132" s="14">
        <f t="shared" si="2"/>
        <v>860000</v>
      </c>
    </row>
    <row r="133" spans="1:11">
      <c r="A133" t="s">
        <v>219</v>
      </c>
      <c r="B133" s="2">
        <v>45097</v>
      </c>
      <c r="C133" t="s">
        <v>52</v>
      </c>
      <c r="D133" t="s">
        <v>53</v>
      </c>
      <c r="E133" t="s">
        <v>1293</v>
      </c>
      <c r="F133" t="s">
        <v>12</v>
      </c>
      <c r="G133">
        <v>1</v>
      </c>
      <c r="H133">
        <v>195000</v>
      </c>
      <c r="I133">
        <v>0</v>
      </c>
      <c r="J133" t="s">
        <v>21</v>
      </c>
      <c r="K133" s="14">
        <f t="shared" si="2"/>
        <v>195000</v>
      </c>
    </row>
    <row r="134" spans="1:11">
      <c r="A134" t="s">
        <v>220</v>
      </c>
      <c r="B134" s="2">
        <v>45122</v>
      </c>
      <c r="C134" t="s">
        <v>131</v>
      </c>
      <c r="D134" t="s">
        <v>132</v>
      </c>
      <c r="E134" t="s">
        <v>20</v>
      </c>
      <c r="F134" t="s">
        <v>12</v>
      </c>
      <c r="G134">
        <v>1</v>
      </c>
      <c r="H134">
        <v>280000</v>
      </c>
      <c r="I134">
        <v>0</v>
      </c>
      <c r="J134" t="s">
        <v>71</v>
      </c>
      <c r="K134" s="14">
        <f t="shared" si="2"/>
        <v>280000</v>
      </c>
    </row>
    <row r="135" spans="1:11">
      <c r="A135" t="s">
        <v>221</v>
      </c>
      <c r="B135" s="2">
        <v>45271</v>
      </c>
      <c r="C135" t="s">
        <v>153</v>
      </c>
      <c r="D135" t="s">
        <v>83</v>
      </c>
      <c r="E135" t="s">
        <v>84</v>
      </c>
      <c r="F135" t="s">
        <v>12</v>
      </c>
      <c r="G135">
        <v>1</v>
      </c>
      <c r="H135">
        <v>395000</v>
      </c>
      <c r="I135">
        <v>0</v>
      </c>
      <c r="J135" t="s">
        <v>21</v>
      </c>
      <c r="K135" s="14">
        <f t="shared" si="2"/>
        <v>395000</v>
      </c>
    </row>
    <row r="136" spans="1:11">
      <c r="A136" t="s">
        <v>222</v>
      </c>
      <c r="B136" s="2">
        <v>45044</v>
      </c>
      <c r="C136" t="s">
        <v>173</v>
      </c>
      <c r="D136" t="s">
        <v>39</v>
      </c>
      <c r="E136" t="s">
        <v>40</v>
      </c>
      <c r="F136" t="s">
        <v>68</v>
      </c>
      <c r="G136">
        <v>4</v>
      </c>
      <c r="H136">
        <v>320000</v>
      </c>
      <c r="I136">
        <v>0</v>
      </c>
      <c r="J136" t="s">
        <v>16</v>
      </c>
      <c r="K136" s="14">
        <f t="shared" si="2"/>
        <v>1280000</v>
      </c>
    </row>
    <row r="137" spans="1:11">
      <c r="A137" t="s">
        <v>223</v>
      </c>
      <c r="B137" s="2">
        <v>44996</v>
      </c>
      <c r="C137" t="s">
        <v>31</v>
      </c>
      <c r="D137" t="s">
        <v>32</v>
      </c>
      <c r="E137" t="s">
        <v>29</v>
      </c>
      <c r="F137" t="s">
        <v>68</v>
      </c>
      <c r="G137">
        <v>1</v>
      </c>
      <c r="H137">
        <v>215000</v>
      </c>
      <c r="I137">
        <v>0</v>
      </c>
      <c r="J137" t="s">
        <v>21</v>
      </c>
      <c r="K137" s="14">
        <f t="shared" si="2"/>
        <v>215000</v>
      </c>
    </row>
    <row r="138" spans="1:11">
      <c r="A138" t="s">
        <v>224</v>
      </c>
      <c r="B138" s="2">
        <v>45279</v>
      </c>
      <c r="C138" t="s">
        <v>162</v>
      </c>
      <c r="D138" t="s">
        <v>56</v>
      </c>
      <c r="E138" t="s">
        <v>57</v>
      </c>
      <c r="F138" t="s">
        <v>68</v>
      </c>
      <c r="G138">
        <v>-1</v>
      </c>
      <c r="H138">
        <v>105000</v>
      </c>
      <c r="I138">
        <v>5</v>
      </c>
      <c r="J138" t="s">
        <v>21</v>
      </c>
      <c r="K138" s="14">
        <f t="shared" si="2"/>
        <v>-99750</v>
      </c>
    </row>
    <row r="139" spans="1:11">
      <c r="A139" t="s">
        <v>225</v>
      </c>
      <c r="B139" s="2">
        <v>45215</v>
      </c>
      <c r="C139" t="s">
        <v>15</v>
      </c>
      <c r="D139" t="s">
        <v>10</v>
      </c>
      <c r="E139" t="s">
        <v>11</v>
      </c>
      <c r="F139" t="s">
        <v>68</v>
      </c>
      <c r="G139">
        <v>2</v>
      </c>
      <c r="H139">
        <v>420000</v>
      </c>
      <c r="I139">
        <v>0</v>
      </c>
      <c r="J139" t="s">
        <v>41</v>
      </c>
      <c r="K139" s="14">
        <f t="shared" si="2"/>
        <v>840000</v>
      </c>
    </row>
    <row r="140" spans="1:11">
      <c r="A140" t="s">
        <v>226</v>
      </c>
      <c r="B140" s="2">
        <v>45073</v>
      </c>
      <c r="C140" t="s">
        <v>55</v>
      </c>
      <c r="D140" t="s">
        <v>56</v>
      </c>
      <c r="E140" t="s">
        <v>57</v>
      </c>
      <c r="F140" t="s">
        <v>62</v>
      </c>
      <c r="G140">
        <v>1</v>
      </c>
      <c r="H140">
        <v>105000</v>
      </c>
      <c r="I140">
        <v>5</v>
      </c>
      <c r="J140" t="s">
        <v>41</v>
      </c>
      <c r="K140" s="14">
        <f t="shared" si="2"/>
        <v>99750</v>
      </c>
    </row>
    <row r="141" spans="1:11">
      <c r="A141" t="s">
        <v>227</v>
      </c>
      <c r="B141" s="2">
        <v>45254</v>
      </c>
      <c r="C141" t="s">
        <v>228</v>
      </c>
      <c r="D141" t="s">
        <v>50</v>
      </c>
      <c r="E141" t="s">
        <v>29</v>
      </c>
      <c r="F141" t="s">
        <v>1268</v>
      </c>
      <c r="G141">
        <v>2</v>
      </c>
      <c r="H141">
        <v>220000</v>
      </c>
      <c r="I141">
        <v>5</v>
      </c>
      <c r="J141" t="s">
        <v>21</v>
      </c>
      <c r="K141" s="14">
        <f t="shared" si="2"/>
        <v>418000</v>
      </c>
    </row>
    <row r="142" spans="1:11">
      <c r="A142" t="s">
        <v>229</v>
      </c>
      <c r="B142" s="2">
        <v>45131</v>
      </c>
      <c r="C142" t="s">
        <v>34</v>
      </c>
      <c r="D142" t="s">
        <v>35</v>
      </c>
      <c r="E142" t="s">
        <v>36</v>
      </c>
      <c r="F142" t="s">
        <v>1268</v>
      </c>
      <c r="G142">
        <v>2</v>
      </c>
      <c r="H142">
        <v>198000</v>
      </c>
      <c r="I142">
        <v>0</v>
      </c>
      <c r="J142" t="s">
        <v>16</v>
      </c>
      <c r="K142" s="14">
        <f t="shared" si="2"/>
        <v>396000</v>
      </c>
    </row>
    <row r="143" spans="1:11">
      <c r="A143" t="s">
        <v>230</v>
      </c>
      <c r="B143" s="2">
        <v>45263</v>
      </c>
      <c r="C143" t="s">
        <v>122</v>
      </c>
      <c r="D143" t="s">
        <v>123</v>
      </c>
      <c r="E143" t="s">
        <v>124</v>
      </c>
      <c r="F143" t="s">
        <v>12</v>
      </c>
      <c r="G143">
        <v>4</v>
      </c>
      <c r="H143">
        <v>228000</v>
      </c>
      <c r="I143">
        <v>0</v>
      </c>
      <c r="J143" t="s">
        <v>21</v>
      </c>
      <c r="K143" s="14">
        <f t="shared" si="2"/>
        <v>912000</v>
      </c>
    </row>
    <row r="144" spans="1:11">
      <c r="A144" t="s">
        <v>231</v>
      </c>
      <c r="B144" s="2">
        <v>45270</v>
      </c>
      <c r="C144" t="s">
        <v>60</v>
      </c>
      <c r="D144" t="s">
        <v>61</v>
      </c>
      <c r="E144" t="s">
        <v>20</v>
      </c>
      <c r="F144" t="s">
        <v>62</v>
      </c>
      <c r="G144">
        <v>2</v>
      </c>
      <c r="H144">
        <v>260000</v>
      </c>
      <c r="I144">
        <v>20</v>
      </c>
      <c r="J144" t="s">
        <v>21</v>
      </c>
      <c r="K144" s="14">
        <f t="shared" si="2"/>
        <v>416000</v>
      </c>
    </row>
    <row r="145" spans="1:11">
      <c r="A145" t="s">
        <v>232</v>
      </c>
      <c r="B145" s="2">
        <v>44999</v>
      </c>
      <c r="C145" t="s">
        <v>43</v>
      </c>
      <c r="D145" t="s">
        <v>44</v>
      </c>
      <c r="E145" t="s">
        <v>29</v>
      </c>
      <c r="F145" t="s">
        <v>68</v>
      </c>
      <c r="G145">
        <v>3</v>
      </c>
      <c r="H145">
        <v>235000</v>
      </c>
      <c r="I145">
        <v>15</v>
      </c>
      <c r="J145" t="s">
        <v>21</v>
      </c>
      <c r="K145" s="14">
        <f t="shared" si="2"/>
        <v>599250</v>
      </c>
    </row>
    <row r="146" spans="1:11">
      <c r="A146" t="s">
        <v>233</v>
      </c>
      <c r="B146" s="2">
        <v>45058</v>
      </c>
      <c r="C146" t="s">
        <v>70</v>
      </c>
      <c r="D146" t="s">
        <v>65</v>
      </c>
      <c r="E146" t="s">
        <v>66</v>
      </c>
      <c r="F146" t="s">
        <v>12</v>
      </c>
      <c r="G146">
        <v>3</v>
      </c>
      <c r="H146">
        <v>295000</v>
      </c>
      <c r="I146">
        <v>15</v>
      </c>
      <c r="J146" t="s">
        <v>21</v>
      </c>
      <c r="K146" s="14">
        <f t="shared" si="2"/>
        <v>752250</v>
      </c>
    </row>
    <row r="147" spans="1:11">
      <c r="A147" t="s">
        <v>234</v>
      </c>
      <c r="B147" s="2">
        <v>45231</v>
      </c>
      <c r="C147" t="s">
        <v>38</v>
      </c>
      <c r="D147" t="s">
        <v>39</v>
      </c>
      <c r="E147" t="s">
        <v>40</v>
      </c>
      <c r="F147" t="s">
        <v>12</v>
      </c>
      <c r="G147">
        <v>1</v>
      </c>
      <c r="H147">
        <v>320000</v>
      </c>
      <c r="I147">
        <v>5</v>
      </c>
      <c r="J147" t="s">
        <v>21</v>
      </c>
      <c r="K147" s="14">
        <f t="shared" si="2"/>
        <v>304000</v>
      </c>
    </row>
    <row r="148" spans="1:11">
      <c r="A148" t="s">
        <v>235</v>
      </c>
      <c r="B148" s="2">
        <v>45215</v>
      </c>
      <c r="C148" t="s">
        <v>101</v>
      </c>
      <c r="D148" t="s">
        <v>102</v>
      </c>
      <c r="E148" t="s">
        <v>11</v>
      </c>
      <c r="F148" t="s">
        <v>12</v>
      </c>
      <c r="G148">
        <v>1</v>
      </c>
      <c r="H148">
        <v>430000</v>
      </c>
      <c r="I148">
        <v>0</v>
      </c>
      <c r="J148" t="s">
        <v>21</v>
      </c>
      <c r="K148" s="14">
        <f t="shared" si="2"/>
        <v>430000</v>
      </c>
    </row>
    <row r="149" spans="1:11">
      <c r="A149" t="s">
        <v>236</v>
      </c>
      <c r="B149" s="2">
        <v>45014</v>
      </c>
      <c r="C149" t="s">
        <v>90</v>
      </c>
      <c r="D149" t="s">
        <v>91</v>
      </c>
      <c r="E149" t="s">
        <v>11</v>
      </c>
      <c r="F149" t="s">
        <v>12</v>
      </c>
      <c r="G149">
        <v>3</v>
      </c>
      <c r="H149">
        <v>425000</v>
      </c>
      <c r="I149">
        <v>0</v>
      </c>
      <c r="J149" t="s">
        <v>16</v>
      </c>
      <c r="K149" s="14">
        <f t="shared" si="2"/>
        <v>1275000</v>
      </c>
    </row>
    <row r="150" spans="1:11">
      <c r="A150" t="s">
        <v>237</v>
      </c>
      <c r="B150" s="2">
        <v>44963</v>
      </c>
      <c r="C150" t="s">
        <v>215</v>
      </c>
      <c r="D150" t="s">
        <v>10</v>
      </c>
      <c r="E150" t="s">
        <v>11</v>
      </c>
      <c r="F150" t="s">
        <v>12</v>
      </c>
      <c r="G150">
        <v>3</v>
      </c>
      <c r="H150">
        <v>420000</v>
      </c>
      <c r="I150">
        <v>5</v>
      </c>
      <c r="J150" t="s">
        <v>41</v>
      </c>
      <c r="K150" s="14">
        <f t="shared" si="2"/>
        <v>1197000</v>
      </c>
    </row>
    <row r="151" spans="1:11">
      <c r="A151" t="s">
        <v>238</v>
      </c>
      <c r="B151" s="2">
        <v>45233</v>
      </c>
      <c r="C151" t="s">
        <v>104</v>
      </c>
      <c r="D151" t="s">
        <v>105</v>
      </c>
      <c r="E151" t="s">
        <v>29</v>
      </c>
      <c r="F151" t="s">
        <v>12</v>
      </c>
      <c r="G151">
        <v>1</v>
      </c>
      <c r="H151">
        <v>210000</v>
      </c>
      <c r="I151">
        <v>0</v>
      </c>
      <c r="J151" t="s">
        <v>47</v>
      </c>
      <c r="K151" s="14">
        <f t="shared" si="2"/>
        <v>210000</v>
      </c>
    </row>
    <row r="152" spans="1:11">
      <c r="A152" t="s">
        <v>239</v>
      </c>
      <c r="B152" s="2">
        <v>45192</v>
      </c>
      <c r="C152" t="s">
        <v>88</v>
      </c>
      <c r="D152" t="s">
        <v>10</v>
      </c>
      <c r="E152" t="s">
        <v>11</v>
      </c>
      <c r="F152" t="s">
        <v>62</v>
      </c>
      <c r="G152">
        <v>1</v>
      </c>
      <c r="H152">
        <v>420000</v>
      </c>
      <c r="I152">
        <v>0</v>
      </c>
      <c r="J152" t="s">
        <v>16</v>
      </c>
      <c r="K152" s="14">
        <f t="shared" si="2"/>
        <v>420000</v>
      </c>
    </row>
    <row r="153" spans="1:11">
      <c r="A153" t="s">
        <v>240</v>
      </c>
      <c r="B153" s="2">
        <v>45001</v>
      </c>
      <c r="C153" t="s">
        <v>46</v>
      </c>
      <c r="D153" t="s">
        <v>44</v>
      </c>
      <c r="E153" t="s">
        <v>1290</v>
      </c>
      <c r="F153" t="s">
        <v>12</v>
      </c>
      <c r="G153">
        <v>4</v>
      </c>
      <c r="H153">
        <v>235000</v>
      </c>
      <c r="I153">
        <v>0</v>
      </c>
      <c r="J153" t="s">
        <v>16</v>
      </c>
      <c r="K153" s="14">
        <f t="shared" si="2"/>
        <v>940000</v>
      </c>
    </row>
    <row r="154" spans="1:11">
      <c r="A154" t="s">
        <v>241</v>
      </c>
      <c r="B154" s="2">
        <v>45010</v>
      </c>
      <c r="C154" t="s">
        <v>242</v>
      </c>
      <c r="D154" t="s">
        <v>97</v>
      </c>
      <c r="E154" t="s">
        <v>98</v>
      </c>
      <c r="F154" t="s">
        <v>62</v>
      </c>
      <c r="G154">
        <v>-1</v>
      </c>
      <c r="H154">
        <v>170000</v>
      </c>
      <c r="I154">
        <v>0</v>
      </c>
      <c r="J154" t="s">
        <v>41</v>
      </c>
      <c r="K154" s="14">
        <f t="shared" si="2"/>
        <v>-170000</v>
      </c>
    </row>
    <row r="155" spans="1:11">
      <c r="A155" t="s">
        <v>243</v>
      </c>
      <c r="B155" s="2">
        <v>45009</v>
      </c>
      <c r="C155" t="s">
        <v>144</v>
      </c>
      <c r="D155" t="s">
        <v>142</v>
      </c>
      <c r="E155" t="s">
        <v>66</v>
      </c>
      <c r="F155" t="s">
        <v>12</v>
      </c>
      <c r="G155">
        <v>2</v>
      </c>
      <c r="H155">
        <v>330000</v>
      </c>
      <c r="I155">
        <v>15</v>
      </c>
      <c r="J155" t="s">
        <v>16</v>
      </c>
      <c r="K155" s="14">
        <f t="shared" si="2"/>
        <v>561000</v>
      </c>
    </row>
    <row r="156" spans="1:11">
      <c r="A156" t="s">
        <v>244</v>
      </c>
      <c r="B156" s="2">
        <v>45287</v>
      </c>
      <c r="C156" t="s">
        <v>94</v>
      </c>
      <c r="D156" t="s">
        <v>50</v>
      </c>
      <c r="E156" t="s">
        <v>29</v>
      </c>
      <c r="F156" t="s">
        <v>68</v>
      </c>
      <c r="G156">
        <v>3</v>
      </c>
      <c r="H156">
        <v>220000</v>
      </c>
      <c r="I156">
        <v>0</v>
      </c>
      <c r="J156" t="s">
        <v>21</v>
      </c>
      <c r="K156" s="14">
        <f t="shared" si="2"/>
        <v>660000</v>
      </c>
    </row>
    <row r="157" spans="1:11">
      <c r="A157" t="s">
        <v>245</v>
      </c>
      <c r="B157" s="2">
        <v>44962</v>
      </c>
      <c r="C157" t="s">
        <v>139</v>
      </c>
      <c r="D157" t="s">
        <v>61</v>
      </c>
      <c r="E157" t="s">
        <v>20</v>
      </c>
      <c r="F157" t="s">
        <v>1268</v>
      </c>
      <c r="G157">
        <v>1</v>
      </c>
      <c r="H157">
        <v>260000</v>
      </c>
      <c r="I157">
        <v>0</v>
      </c>
      <c r="J157" t="s">
        <v>16</v>
      </c>
      <c r="K157" s="14">
        <f t="shared" si="2"/>
        <v>260000</v>
      </c>
    </row>
    <row r="158" spans="1:11">
      <c r="A158" t="s">
        <v>246</v>
      </c>
      <c r="B158" s="2">
        <v>45264</v>
      </c>
      <c r="C158" t="s">
        <v>18</v>
      </c>
      <c r="D158" t="s">
        <v>19</v>
      </c>
      <c r="E158" t="s">
        <v>20</v>
      </c>
      <c r="F158" t="s">
        <v>12</v>
      </c>
      <c r="G158">
        <v>2</v>
      </c>
      <c r="H158">
        <v>265000</v>
      </c>
      <c r="I158">
        <v>0</v>
      </c>
      <c r="J158" t="s">
        <v>16</v>
      </c>
      <c r="K158" s="14">
        <f t="shared" si="2"/>
        <v>530000</v>
      </c>
    </row>
    <row r="159" spans="1:11">
      <c r="A159" t="s">
        <v>247</v>
      </c>
      <c r="B159" s="2">
        <v>45238</v>
      </c>
      <c r="C159" t="s">
        <v>49</v>
      </c>
      <c r="D159" t="s">
        <v>50</v>
      </c>
      <c r="E159" t="s">
        <v>29</v>
      </c>
      <c r="F159" t="s">
        <v>62</v>
      </c>
      <c r="G159">
        <v>1</v>
      </c>
      <c r="H159">
        <v>220000</v>
      </c>
      <c r="I159">
        <v>10</v>
      </c>
      <c r="J159" t="s">
        <v>16</v>
      </c>
      <c r="K159" s="14">
        <f t="shared" si="2"/>
        <v>198000</v>
      </c>
    </row>
    <row r="160" spans="1:11">
      <c r="A160" t="s">
        <v>248</v>
      </c>
      <c r="B160" s="2">
        <v>45245</v>
      </c>
      <c r="C160" t="s">
        <v>122</v>
      </c>
      <c r="D160" t="s">
        <v>123</v>
      </c>
      <c r="E160" t="s">
        <v>124</v>
      </c>
      <c r="F160" t="s">
        <v>1268</v>
      </c>
      <c r="G160">
        <v>1</v>
      </c>
      <c r="H160">
        <v>228000</v>
      </c>
      <c r="I160">
        <v>0</v>
      </c>
      <c r="J160" t="s">
        <v>16</v>
      </c>
      <c r="K160" s="14">
        <f t="shared" si="2"/>
        <v>228000</v>
      </c>
    </row>
    <row r="161" spans="1:11">
      <c r="A161" t="s">
        <v>249</v>
      </c>
      <c r="B161" s="2">
        <v>45210</v>
      </c>
      <c r="C161" t="s">
        <v>250</v>
      </c>
      <c r="D161" t="s">
        <v>53</v>
      </c>
      <c r="E161" t="s">
        <v>36</v>
      </c>
      <c r="F161" t="s">
        <v>62</v>
      </c>
      <c r="G161">
        <v>2</v>
      </c>
      <c r="H161">
        <v>195000</v>
      </c>
      <c r="I161">
        <v>0</v>
      </c>
      <c r="J161" t="s">
        <v>16</v>
      </c>
      <c r="K161" s="14">
        <f t="shared" si="2"/>
        <v>390000</v>
      </c>
    </row>
    <row r="162" spans="1:11">
      <c r="A162" t="s">
        <v>251</v>
      </c>
      <c r="B162" s="2">
        <v>45098</v>
      </c>
      <c r="C162" t="s">
        <v>228</v>
      </c>
      <c r="D162" t="s">
        <v>50</v>
      </c>
      <c r="E162" t="s">
        <v>29</v>
      </c>
      <c r="F162" t="s">
        <v>12</v>
      </c>
      <c r="G162">
        <v>2</v>
      </c>
      <c r="H162">
        <v>220000</v>
      </c>
      <c r="I162">
        <v>5</v>
      </c>
      <c r="J162" t="s">
        <v>16</v>
      </c>
      <c r="K162" s="14">
        <f t="shared" si="2"/>
        <v>418000</v>
      </c>
    </row>
    <row r="163" spans="1:11">
      <c r="A163" t="s">
        <v>252</v>
      </c>
      <c r="B163" s="2">
        <v>44929</v>
      </c>
      <c r="C163" t="s">
        <v>108</v>
      </c>
      <c r="D163" t="s">
        <v>56</v>
      </c>
      <c r="E163" t="s">
        <v>57</v>
      </c>
      <c r="F163" t="s">
        <v>12</v>
      </c>
      <c r="G163">
        <v>2</v>
      </c>
      <c r="H163">
        <v>105000</v>
      </c>
      <c r="I163">
        <v>0</v>
      </c>
      <c r="J163" t="s">
        <v>21</v>
      </c>
      <c r="K163" s="14">
        <f t="shared" si="2"/>
        <v>210000</v>
      </c>
    </row>
    <row r="164" spans="1:11">
      <c r="A164" t="s">
        <v>253</v>
      </c>
      <c r="B164" s="2">
        <v>45130</v>
      </c>
      <c r="C164" t="s">
        <v>119</v>
      </c>
      <c r="D164" t="s">
        <v>120</v>
      </c>
      <c r="E164" t="s">
        <v>11</v>
      </c>
      <c r="F164" t="s">
        <v>68</v>
      </c>
      <c r="G164">
        <v>1</v>
      </c>
      <c r="H164">
        <v>440000</v>
      </c>
      <c r="I164">
        <v>10</v>
      </c>
      <c r="J164" t="s">
        <v>41</v>
      </c>
      <c r="K164" s="14">
        <f t="shared" si="2"/>
        <v>396000</v>
      </c>
    </row>
    <row r="165" spans="1:11">
      <c r="A165" t="s">
        <v>254</v>
      </c>
      <c r="B165" s="2">
        <v>45278</v>
      </c>
      <c r="C165" t="s">
        <v>23</v>
      </c>
      <c r="D165" t="s">
        <v>24</v>
      </c>
      <c r="E165" t="s">
        <v>25</v>
      </c>
      <c r="F165" t="s">
        <v>1268</v>
      </c>
      <c r="G165">
        <v>1</v>
      </c>
      <c r="H165">
        <v>182000</v>
      </c>
      <c r="I165">
        <v>0</v>
      </c>
      <c r="J165" t="s">
        <v>1268</v>
      </c>
      <c r="K165" s="14">
        <f t="shared" si="2"/>
        <v>182000</v>
      </c>
    </row>
    <row r="166" spans="1:11">
      <c r="A166" t="s">
        <v>255</v>
      </c>
      <c r="B166" s="2">
        <v>45126</v>
      </c>
      <c r="C166" t="s">
        <v>147</v>
      </c>
      <c r="D166" t="s">
        <v>148</v>
      </c>
      <c r="E166" t="s">
        <v>66</v>
      </c>
      <c r="F166" t="s">
        <v>12</v>
      </c>
      <c r="G166">
        <v>2</v>
      </c>
      <c r="H166">
        <v>305000</v>
      </c>
      <c r="I166">
        <v>0</v>
      </c>
      <c r="J166" t="s">
        <v>21</v>
      </c>
      <c r="K166" s="14">
        <f t="shared" si="2"/>
        <v>610000</v>
      </c>
    </row>
    <row r="167" spans="1:11">
      <c r="A167" t="s">
        <v>256</v>
      </c>
      <c r="B167" s="2">
        <v>44941</v>
      </c>
      <c r="C167" t="s">
        <v>38</v>
      </c>
      <c r="D167" t="s">
        <v>39</v>
      </c>
      <c r="E167" t="s">
        <v>40</v>
      </c>
      <c r="F167" t="s">
        <v>12</v>
      </c>
      <c r="G167">
        <v>2</v>
      </c>
      <c r="H167">
        <v>320000</v>
      </c>
      <c r="I167">
        <v>0</v>
      </c>
      <c r="J167" t="s">
        <v>16</v>
      </c>
      <c r="K167" s="14">
        <f t="shared" si="2"/>
        <v>640000</v>
      </c>
    </row>
    <row r="168" spans="1:11">
      <c r="A168" t="s">
        <v>257</v>
      </c>
      <c r="B168" s="2">
        <v>44958</v>
      </c>
      <c r="C168" t="s">
        <v>228</v>
      </c>
      <c r="D168" t="s">
        <v>50</v>
      </c>
      <c r="E168" t="s">
        <v>29</v>
      </c>
      <c r="F168" t="s">
        <v>12</v>
      </c>
      <c r="G168">
        <v>4</v>
      </c>
      <c r="H168">
        <v>220000</v>
      </c>
      <c r="I168">
        <v>10</v>
      </c>
      <c r="J168" t="s">
        <v>16</v>
      </c>
      <c r="K168" s="14">
        <f t="shared" si="2"/>
        <v>792000</v>
      </c>
    </row>
    <row r="169" spans="1:11">
      <c r="A169" t="s">
        <v>258</v>
      </c>
      <c r="B169" s="2">
        <v>45128</v>
      </c>
      <c r="C169" t="s">
        <v>82</v>
      </c>
      <c r="D169" t="s">
        <v>83</v>
      </c>
      <c r="E169" t="s">
        <v>84</v>
      </c>
      <c r="F169" t="s">
        <v>68</v>
      </c>
      <c r="G169">
        <v>4</v>
      </c>
      <c r="H169">
        <v>395000</v>
      </c>
      <c r="I169">
        <v>0</v>
      </c>
      <c r="J169" t="s">
        <v>71</v>
      </c>
      <c r="K169" s="14">
        <f t="shared" si="2"/>
        <v>1580000</v>
      </c>
    </row>
    <row r="170" spans="1:11">
      <c r="A170" t="s">
        <v>259</v>
      </c>
      <c r="B170" s="2">
        <v>45008</v>
      </c>
      <c r="C170" t="s">
        <v>82</v>
      </c>
      <c r="D170" t="s">
        <v>83</v>
      </c>
      <c r="E170" t="s">
        <v>84</v>
      </c>
      <c r="F170" t="s">
        <v>68</v>
      </c>
      <c r="G170">
        <v>2</v>
      </c>
      <c r="H170">
        <v>395000</v>
      </c>
      <c r="I170">
        <v>0</v>
      </c>
      <c r="J170" t="s">
        <v>41</v>
      </c>
      <c r="K170" s="14">
        <f t="shared" si="2"/>
        <v>790000</v>
      </c>
    </row>
    <row r="171" spans="1:11">
      <c r="A171" t="s">
        <v>260</v>
      </c>
      <c r="B171" s="2">
        <v>44990</v>
      </c>
      <c r="C171" t="s">
        <v>75</v>
      </c>
      <c r="D171" t="s">
        <v>32</v>
      </c>
      <c r="E171" t="s">
        <v>29</v>
      </c>
      <c r="F171" t="s">
        <v>12</v>
      </c>
      <c r="G171">
        <v>2</v>
      </c>
      <c r="H171">
        <v>215000</v>
      </c>
      <c r="I171">
        <v>0</v>
      </c>
      <c r="J171" t="s">
        <v>16</v>
      </c>
      <c r="K171" s="14">
        <f t="shared" si="2"/>
        <v>430000</v>
      </c>
    </row>
    <row r="172" spans="1:11">
      <c r="A172" t="s">
        <v>261</v>
      </c>
      <c r="B172" s="2">
        <v>45238</v>
      </c>
      <c r="C172" t="s">
        <v>31</v>
      </c>
      <c r="D172" t="s">
        <v>32</v>
      </c>
      <c r="E172" t="s">
        <v>29</v>
      </c>
      <c r="F172" t="s">
        <v>68</v>
      </c>
      <c r="G172">
        <v>2</v>
      </c>
      <c r="H172">
        <v>215000</v>
      </c>
      <c r="I172">
        <v>10</v>
      </c>
      <c r="J172" t="s">
        <v>16</v>
      </c>
      <c r="K172" s="14">
        <f t="shared" si="2"/>
        <v>387000</v>
      </c>
    </row>
    <row r="173" spans="1:11">
      <c r="A173" t="s">
        <v>262</v>
      </c>
      <c r="B173" s="2">
        <v>45188</v>
      </c>
      <c r="C173" t="s">
        <v>133</v>
      </c>
      <c r="D173" t="s">
        <v>102</v>
      </c>
      <c r="E173" t="s">
        <v>11</v>
      </c>
      <c r="F173" t="s">
        <v>62</v>
      </c>
      <c r="G173">
        <v>1</v>
      </c>
      <c r="H173">
        <v>430000</v>
      </c>
      <c r="I173">
        <v>0</v>
      </c>
      <c r="J173" t="s">
        <v>41</v>
      </c>
      <c r="K173" s="14">
        <f t="shared" si="2"/>
        <v>430000</v>
      </c>
    </row>
    <row r="174" spans="1:11">
      <c r="A174" t="s">
        <v>263</v>
      </c>
      <c r="B174" s="2">
        <v>44997</v>
      </c>
      <c r="C174" t="s">
        <v>34</v>
      </c>
      <c r="D174" t="s">
        <v>35</v>
      </c>
      <c r="E174" t="s">
        <v>36</v>
      </c>
      <c r="F174" t="s">
        <v>12</v>
      </c>
      <c r="G174">
        <v>-3</v>
      </c>
      <c r="H174">
        <v>198000</v>
      </c>
      <c r="I174">
        <v>5</v>
      </c>
      <c r="J174" t="s">
        <v>16</v>
      </c>
      <c r="K174" s="14">
        <f t="shared" si="2"/>
        <v>-564300</v>
      </c>
    </row>
    <row r="175" spans="1:11">
      <c r="A175" t="s">
        <v>264</v>
      </c>
      <c r="B175" s="2">
        <v>45082</v>
      </c>
      <c r="C175" t="s">
        <v>173</v>
      </c>
      <c r="D175" t="s">
        <v>39</v>
      </c>
      <c r="E175" t="s">
        <v>40</v>
      </c>
      <c r="F175" t="s">
        <v>68</v>
      </c>
      <c r="G175">
        <v>-2</v>
      </c>
      <c r="H175">
        <v>320000</v>
      </c>
      <c r="I175">
        <v>0</v>
      </c>
      <c r="J175" t="s">
        <v>16</v>
      </c>
      <c r="K175" s="14">
        <f t="shared" si="2"/>
        <v>-640000</v>
      </c>
    </row>
    <row r="176" spans="1:11">
      <c r="A176" t="s">
        <v>265</v>
      </c>
      <c r="B176" s="2">
        <v>45178</v>
      </c>
      <c r="C176" t="s">
        <v>82</v>
      </c>
      <c r="D176" t="s">
        <v>83</v>
      </c>
      <c r="E176" t="s">
        <v>84</v>
      </c>
      <c r="F176" t="s">
        <v>68</v>
      </c>
      <c r="G176">
        <v>1</v>
      </c>
      <c r="H176">
        <v>395000</v>
      </c>
      <c r="I176">
        <v>0</v>
      </c>
      <c r="J176" t="s">
        <v>21</v>
      </c>
      <c r="K176" s="14">
        <f t="shared" si="2"/>
        <v>395000</v>
      </c>
    </row>
    <row r="177" spans="1:11">
      <c r="A177" t="s">
        <v>266</v>
      </c>
      <c r="B177" s="2">
        <v>45045</v>
      </c>
      <c r="C177" t="s">
        <v>173</v>
      </c>
      <c r="D177" t="s">
        <v>39</v>
      </c>
      <c r="E177" t="s">
        <v>40</v>
      </c>
      <c r="F177" t="s">
        <v>1268</v>
      </c>
      <c r="G177">
        <v>1</v>
      </c>
      <c r="H177">
        <v>320000</v>
      </c>
      <c r="I177">
        <v>0</v>
      </c>
      <c r="J177" t="s">
        <v>41</v>
      </c>
      <c r="K177" s="14">
        <f t="shared" si="2"/>
        <v>320000</v>
      </c>
    </row>
    <row r="178" spans="1:11">
      <c r="A178" t="s">
        <v>267</v>
      </c>
      <c r="B178" s="2">
        <v>44996</v>
      </c>
      <c r="C178" t="s">
        <v>46</v>
      </c>
      <c r="D178" t="s">
        <v>44</v>
      </c>
      <c r="E178" t="s">
        <v>1290</v>
      </c>
      <c r="F178" t="s">
        <v>12</v>
      </c>
      <c r="G178">
        <v>1</v>
      </c>
      <c r="H178">
        <v>235000</v>
      </c>
      <c r="I178">
        <v>0</v>
      </c>
      <c r="J178" t="s">
        <v>16</v>
      </c>
      <c r="K178" s="14">
        <f t="shared" si="2"/>
        <v>235000</v>
      </c>
    </row>
    <row r="179" spans="1:11">
      <c r="A179" t="s">
        <v>268</v>
      </c>
      <c r="B179" s="2">
        <v>45069</v>
      </c>
      <c r="C179" t="s">
        <v>46</v>
      </c>
      <c r="D179" t="s">
        <v>44</v>
      </c>
      <c r="E179" t="s">
        <v>1290</v>
      </c>
      <c r="F179" t="s">
        <v>1268</v>
      </c>
      <c r="G179">
        <v>1</v>
      </c>
      <c r="H179">
        <v>235000</v>
      </c>
      <c r="I179">
        <v>0</v>
      </c>
      <c r="J179" t="s">
        <v>71</v>
      </c>
      <c r="K179" s="14">
        <f t="shared" si="2"/>
        <v>235000</v>
      </c>
    </row>
    <row r="180" spans="1:11">
      <c r="A180" t="s">
        <v>269</v>
      </c>
      <c r="B180" s="2">
        <v>45079</v>
      </c>
      <c r="C180" t="s">
        <v>88</v>
      </c>
      <c r="D180" t="s">
        <v>10</v>
      </c>
      <c r="E180" t="s">
        <v>11</v>
      </c>
      <c r="F180" t="s">
        <v>62</v>
      </c>
      <c r="G180">
        <v>1</v>
      </c>
      <c r="H180">
        <v>420000</v>
      </c>
      <c r="I180">
        <v>0</v>
      </c>
      <c r="J180" t="s">
        <v>16</v>
      </c>
      <c r="K180" s="14">
        <f t="shared" si="2"/>
        <v>420000</v>
      </c>
    </row>
    <row r="181" spans="1:11">
      <c r="A181" t="s">
        <v>270</v>
      </c>
      <c r="B181" s="2">
        <v>44994</v>
      </c>
      <c r="C181" t="s">
        <v>250</v>
      </c>
      <c r="D181" t="s">
        <v>53</v>
      </c>
      <c r="E181" t="s">
        <v>36</v>
      </c>
      <c r="F181" t="s">
        <v>62</v>
      </c>
      <c r="G181">
        <v>2</v>
      </c>
      <c r="H181">
        <v>195000</v>
      </c>
      <c r="I181">
        <v>15</v>
      </c>
      <c r="J181" t="s">
        <v>71</v>
      </c>
      <c r="K181" s="14">
        <f t="shared" si="2"/>
        <v>331500</v>
      </c>
    </row>
    <row r="182" spans="1:11">
      <c r="A182" t="s">
        <v>271</v>
      </c>
      <c r="B182" s="2">
        <v>45043</v>
      </c>
      <c r="C182" t="s">
        <v>96</v>
      </c>
      <c r="D182" t="s">
        <v>97</v>
      </c>
      <c r="E182" t="s">
        <v>98</v>
      </c>
      <c r="F182" t="s">
        <v>12</v>
      </c>
      <c r="G182">
        <v>2</v>
      </c>
      <c r="H182">
        <v>170000</v>
      </c>
      <c r="I182">
        <v>10</v>
      </c>
      <c r="J182" t="s">
        <v>16</v>
      </c>
      <c r="K182" s="14">
        <f t="shared" si="2"/>
        <v>306000</v>
      </c>
    </row>
    <row r="183" spans="1:11">
      <c r="A183" t="s">
        <v>272</v>
      </c>
      <c r="B183" s="2">
        <v>45005</v>
      </c>
      <c r="C183" t="s">
        <v>82</v>
      </c>
      <c r="D183" t="s">
        <v>83</v>
      </c>
      <c r="E183" t="s">
        <v>84</v>
      </c>
      <c r="F183" t="s">
        <v>68</v>
      </c>
      <c r="G183">
        <v>2</v>
      </c>
      <c r="H183">
        <v>395000</v>
      </c>
      <c r="I183">
        <v>0</v>
      </c>
      <c r="J183" t="s">
        <v>16</v>
      </c>
      <c r="K183" s="14">
        <f t="shared" si="2"/>
        <v>790000</v>
      </c>
    </row>
    <row r="184" spans="1:11">
      <c r="A184" t="s">
        <v>273</v>
      </c>
      <c r="B184" s="2">
        <v>45103</v>
      </c>
      <c r="C184" t="s">
        <v>104</v>
      </c>
      <c r="D184" t="s">
        <v>105</v>
      </c>
      <c r="E184" t="s">
        <v>29</v>
      </c>
      <c r="F184" t="s">
        <v>12</v>
      </c>
      <c r="G184">
        <v>2</v>
      </c>
      <c r="H184">
        <v>210000</v>
      </c>
      <c r="I184">
        <v>5</v>
      </c>
      <c r="J184" t="s">
        <v>16</v>
      </c>
      <c r="K184" s="14">
        <f t="shared" si="2"/>
        <v>399000</v>
      </c>
    </row>
    <row r="185" spans="1:11">
      <c r="A185" t="s">
        <v>274</v>
      </c>
      <c r="B185" s="2">
        <v>45006</v>
      </c>
      <c r="C185" t="s">
        <v>75</v>
      </c>
      <c r="D185" t="s">
        <v>32</v>
      </c>
      <c r="E185" t="s">
        <v>29</v>
      </c>
      <c r="F185" t="s">
        <v>12</v>
      </c>
      <c r="G185">
        <v>-1</v>
      </c>
      <c r="H185">
        <v>215000</v>
      </c>
      <c r="I185">
        <v>10</v>
      </c>
      <c r="J185" t="s">
        <v>16</v>
      </c>
      <c r="K185" s="14">
        <f t="shared" si="2"/>
        <v>-193500</v>
      </c>
    </row>
    <row r="186" spans="1:11">
      <c r="A186" t="s">
        <v>275</v>
      </c>
      <c r="B186" s="2">
        <v>45049</v>
      </c>
      <c r="C186" t="s">
        <v>55</v>
      </c>
      <c r="D186" t="s">
        <v>56</v>
      </c>
      <c r="E186" t="s">
        <v>57</v>
      </c>
      <c r="F186" t="s">
        <v>62</v>
      </c>
      <c r="G186">
        <v>1</v>
      </c>
      <c r="H186">
        <v>105000</v>
      </c>
      <c r="I186">
        <v>0</v>
      </c>
      <c r="J186" t="s">
        <v>1268</v>
      </c>
      <c r="K186" s="14">
        <f t="shared" ref="K186:K248" si="3">G186*H186*(1-I186/100)</f>
        <v>105000</v>
      </c>
    </row>
    <row r="187" spans="1:11">
      <c r="A187" t="s">
        <v>276</v>
      </c>
      <c r="B187" s="2">
        <v>45171</v>
      </c>
      <c r="C187" t="s">
        <v>52</v>
      </c>
      <c r="D187" t="s">
        <v>53</v>
      </c>
      <c r="E187" t="s">
        <v>1293</v>
      </c>
      <c r="F187" t="s">
        <v>12</v>
      </c>
      <c r="G187">
        <v>4</v>
      </c>
      <c r="H187">
        <v>195000</v>
      </c>
      <c r="I187">
        <v>0</v>
      </c>
      <c r="J187" t="s">
        <v>16</v>
      </c>
      <c r="K187" s="14">
        <f t="shared" si="3"/>
        <v>780000</v>
      </c>
    </row>
    <row r="188" spans="1:11">
      <c r="A188" t="s">
        <v>277</v>
      </c>
      <c r="B188" s="2">
        <v>45007</v>
      </c>
      <c r="C188" t="s">
        <v>147</v>
      </c>
      <c r="D188" t="s">
        <v>148</v>
      </c>
      <c r="E188" t="s">
        <v>66</v>
      </c>
      <c r="F188" t="s">
        <v>12</v>
      </c>
      <c r="G188">
        <v>5</v>
      </c>
      <c r="H188">
        <v>305000</v>
      </c>
      <c r="I188">
        <v>0</v>
      </c>
      <c r="J188" t="s">
        <v>16</v>
      </c>
      <c r="K188" s="14">
        <f t="shared" si="3"/>
        <v>1525000</v>
      </c>
    </row>
    <row r="189" spans="1:11">
      <c r="A189" t="s">
        <v>278</v>
      </c>
      <c r="B189" s="2">
        <v>45023</v>
      </c>
      <c r="C189" t="s">
        <v>104</v>
      </c>
      <c r="D189" t="s">
        <v>105</v>
      </c>
      <c r="E189" t="s">
        <v>29</v>
      </c>
      <c r="F189" t="s">
        <v>12</v>
      </c>
      <c r="G189">
        <v>-2</v>
      </c>
      <c r="H189">
        <v>210000</v>
      </c>
      <c r="I189">
        <v>10</v>
      </c>
      <c r="J189" t="s">
        <v>16</v>
      </c>
      <c r="K189" s="14">
        <f t="shared" si="3"/>
        <v>-378000</v>
      </c>
    </row>
    <row r="190" spans="1:11">
      <c r="A190" t="s">
        <v>279</v>
      </c>
      <c r="B190" s="2">
        <v>45080</v>
      </c>
      <c r="C190" t="s">
        <v>64</v>
      </c>
      <c r="D190" t="s">
        <v>65</v>
      </c>
      <c r="E190" t="s">
        <v>66</v>
      </c>
      <c r="F190" t="s">
        <v>62</v>
      </c>
      <c r="G190">
        <v>1</v>
      </c>
      <c r="H190">
        <v>295000</v>
      </c>
      <c r="I190">
        <v>0</v>
      </c>
      <c r="J190" t="s">
        <v>71</v>
      </c>
      <c r="K190" s="14">
        <f t="shared" si="3"/>
        <v>295000</v>
      </c>
    </row>
    <row r="191" spans="1:11">
      <c r="A191" t="s">
        <v>280</v>
      </c>
      <c r="B191" s="2">
        <v>45227</v>
      </c>
      <c r="C191" t="s">
        <v>162</v>
      </c>
      <c r="D191" t="s">
        <v>56</v>
      </c>
      <c r="E191" t="s">
        <v>57</v>
      </c>
      <c r="F191" t="s">
        <v>68</v>
      </c>
      <c r="G191">
        <v>2</v>
      </c>
      <c r="H191">
        <v>105000</v>
      </c>
      <c r="I191">
        <v>0</v>
      </c>
      <c r="J191" t="s">
        <v>41</v>
      </c>
      <c r="K191" s="14">
        <f t="shared" si="3"/>
        <v>210000</v>
      </c>
    </row>
    <row r="192" spans="1:11">
      <c r="A192" t="s">
        <v>281</v>
      </c>
      <c r="B192" s="2">
        <v>45266</v>
      </c>
      <c r="C192" t="s">
        <v>133</v>
      </c>
      <c r="D192" t="s">
        <v>102</v>
      </c>
      <c r="E192" t="s">
        <v>11</v>
      </c>
      <c r="F192" t="s">
        <v>62</v>
      </c>
      <c r="G192">
        <v>4</v>
      </c>
      <c r="H192">
        <v>430000</v>
      </c>
      <c r="I192">
        <v>0</v>
      </c>
      <c r="J192" t="s">
        <v>16</v>
      </c>
      <c r="K192" s="14">
        <f t="shared" si="3"/>
        <v>1720000</v>
      </c>
    </row>
    <row r="193" spans="1:11">
      <c r="A193" t="s">
        <v>282</v>
      </c>
      <c r="B193" s="2">
        <v>44968</v>
      </c>
      <c r="C193" t="s">
        <v>228</v>
      </c>
      <c r="D193" t="s">
        <v>50</v>
      </c>
      <c r="E193" t="s">
        <v>29</v>
      </c>
      <c r="F193" t="s">
        <v>12</v>
      </c>
      <c r="G193">
        <v>1</v>
      </c>
      <c r="H193">
        <v>220000</v>
      </c>
      <c r="I193">
        <v>0</v>
      </c>
      <c r="J193" t="s">
        <v>16</v>
      </c>
      <c r="K193" s="14">
        <f t="shared" si="3"/>
        <v>220000</v>
      </c>
    </row>
    <row r="194" spans="1:11">
      <c r="A194" t="s">
        <v>283</v>
      </c>
      <c r="B194" s="2">
        <v>45172</v>
      </c>
      <c r="C194" t="s">
        <v>34</v>
      </c>
      <c r="D194" t="s">
        <v>35</v>
      </c>
      <c r="E194" t="s">
        <v>36</v>
      </c>
      <c r="F194" t="s">
        <v>12</v>
      </c>
      <c r="G194">
        <v>2</v>
      </c>
      <c r="H194">
        <v>198000</v>
      </c>
      <c r="I194">
        <v>0</v>
      </c>
      <c r="J194" t="s">
        <v>1268</v>
      </c>
      <c r="K194" s="14">
        <f t="shared" si="3"/>
        <v>396000</v>
      </c>
    </row>
    <row r="195" spans="1:11">
      <c r="A195" t="s">
        <v>284</v>
      </c>
      <c r="B195" s="2">
        <v>45176</v>
      </c>
      <c r="C195" t="s">
        <v>75</v>
      </c>
      <c r="D195" t="s">
        <v>32</v>
      </c>
      <c r="E195" t="s">
        <v>29</v>
      </c>
      <c r="F195" t="s">
        <v>12</v>
      </c>
      <c r="G195">
        <v>1</v>
      </c>
      <c r="H195">
        <v>215000</v>
      </c>
      <c r="I195">
        <v>0</v>
      </c>
      <c r="J195" t="s">
        <v>16</v>
      </c>
      <c r="K195" s="14">
        <f t="shared" si="3"/>
        <v>215000</v>
      </c>
    </row>
    <row r="196" spans="1:11">
      <c r="A196" t="s">
        <v>285</v>
      </c>
      <c r="B196" s="2">
        <v>45124</v>
      </c>
      <c r="C196" t="s">
        <v>299</v>
      </c>
      <c r="D196" t="s">
        <v>120</v>
      </c>
      <c r="E196" t="s">
        <v>11</v>
      </c>
      <c r="F196" t="s">
        <v>12</v>
      </c>
      <c r="G196">
        <v>4</v>
      </c>
      <c r="H196">
        <v>440000</v>
      </c>
      <c r="I196">
        <v>10</v>
      </c>
      <c r="J196" t="s">
        <v>21</v>
      </c>
      <c r="K196" s="14">
        <f t="shared" si="3"/>
        <v>1584000</v>
      </c>
    </row>
    <row r="197" spans="1:11">
      <c r="A197" t="s">
        <v>286</v>
      </c>
      <c r="B197" s="2">
        <v>45088</v>
      </c>
      <c r="C197" t="s">
        <v>18</v>
      </c>
      <c r="D197" t="s">
        <v>19</v>
      </c>
      <c r="E197" t="s">
        <v>20</v>
      </c>
      <c r="F197" t="s">
        <v>12</v>
      </c>
      <c r="G197">
        <v>3</v>
      </c>
      <c r="H197">
        <v>265000</v>
      </c>
      <c r="I197">
        <v>0</v>
      </c>
      <c r="J197" t="s">
        <v>287</v>
      </c>
      <c r="K197" s="14">
        <f t="shared" si="3"/>
        <v>795000</v>
      </c>
    </row>
    <row r="198" spans="1:11">
      <c r="A198" t="s">
        <v>288</v>
      </c>
      <c r="B198" s="2">
        <v>45191</v>
      </c>
      <c r="C198" t="s">
        <v>119</v>
      </c>
      <c r="D198" t="s">
        <v>120</v>
      </c>
      <c r="E198" t="s">
        <v>11</v>
      </c>
      <c r="F198" t="s">
        <v>68</v>
      </c>
      <c r="G198">
        <v>1</v>
      </c>
      <c r="H198">
        <v>440000</v>
      </c>
      <c r="I198">
        <v>0</v>
      </c>
      <c r="J198" t="s">
        <v>1268</v>
      </c>
      <c r="K198" s="14">
        <f t="shared" si="3"/>
        <v>440000</v>
      </c>
    </row>
    <row r="199" spans="1:11">
      <c r="A199" t="s">
        <v>289</v>
      </c>
      <c r="B199" s="2">
        <v>45012</v>
      </c>
      <c r="C199" t="s">
        <v>215</v>
      </c>
      <c r="D199" t="s">
        <v>10</v>
      </c>
      <c r="E199" t="s">
        <v>11</v>
      </c>
      <c r="F199" t="s">
        <v>12</v>
      </c>
      <c r="G199">
        <v>2</v>
      </c>
      <c r="H199">
        <v>420000</v>
      </c>
      <c r="I199">
        <v>0</v>
      </c>
      <c r="J199" t="s">
        <v>41</v>
      </c>
      <c r="K199" s="14">
        <f t="shared" si="3"/>
        <v>840000</v>
      </c>
    </row>
    <row r="200" spans="1:11">
      <c r="A200" t="s">
        <v>290</v>
      </c>
      <c r="B200" s="2">
        <v>44964</v>
      </c>
      <c r="C200" t="s">
        <v>242</v>
      </c>
      <c r="D200" t="s">
        <v>97</v>
      </c>
      <c r="E200" t="s">
        <v>98</v>
      </c>
      <c r="F200" t="s">
        <v>62</v>
      </c>
      <c r="G200">
        <v>3</v>
      </c>
      <c r="H200">
        <v>170000</v>
      </c>
      <c r="I200">
        <v>0</v>
      </c>
      <c r="J200" t="s">
        <v>16</v>
      </c>
      <c r="K200" s="14">
        <f t="shared" si="3"/>
        <v>510000</v>
      </c>
    </row>
    <row r="201" spans="1:11">
      <c r="A201" t="s">
        <v>291</v>
      </c>
      <c r="B201" s="2">
        <v>45233</v>
      </c>
      <c r="C201" t="s">
        <v>153</v>
      </c>
      <c r="D201" t="s">
        <v>83</v>
      </c>
      <c r="E201" t="s">
        <v>84</v>
      </c>
      <c r="F201" t="s">
        <v>12</v>
      </c>
      <c r="G201">
        <v>3</v>
      </c>
      <c r="H201">
        <v>395000</v>
      </c>
      <c r="I201">
        <v>15</v>
      </c>
      <c r="J201" t="s">
        <v>71</v>
      </c>
      <c r="K201" s="14">
        <f t="shared" si="3"/>
        <v>1007250</v>
      </c>
    </row>
    <row r="202" spans="1:11">
      <c r="A202" t="s">
        <v>292</v>
      </c>
      <c r="B202" s="2">
        <v>45071</v>
      </c>
      <c r="C202" t="s">
        <v>94</v>
      </c>
      <c r="D202" t="s">
        <v>50</v>
      </c>
      <c r="E202" t="s">
        <v>29</v>
      </c>
      <c r="F202" t="s">
        <v>68</v>
      </c>
      <c r="G202">
        <v>1</v>
      </c>
      <c r="H202">
        <v>220000</v>
      </c>
      <c r="I202">
        <v>0</v>
      </c>
      <c r="J202" t="s">
        <v>41</v>
      </c>
      <c r="K202" s="14">
        <f t="shared" si="3"/>
        <v>220000</v>
      </c>
    </row>
    <row r="203" spans="1:11">
      <c r="A203" t="s">
        <v>293</v>
      </c>
      <c r="B203" s="2">
        <v>45255</v>
      </c>
      <c r="C203" t="s">
        <v>215</v>
      </c>
      <c r="D203" t="s">
        <v>10</v>
      </c>
      <c r="E203" t="s">
        <v>11</v>
      </c>
      <c r="F203" t="s">
        <v>1268</v>
      </c>
      <c r="G203">
        <v>5</v>
      </c>
      <c r="H203">
        <v>420000</v>
      </c>
      <c r="I203">
        <v>0</v>
      </c>
      <c r="J203" t="s">
        <v>16</v>
      </c>
      <c r="K203" s="14">
        <f t="shared" si="3"/>
        <v>2100000</v>
      </c>
    </row>
    <row r="204" spans="1:11">
      <c r="A204" t="s">
        <v>294</v>
      </c>
      <c r="B204" s="2">
        <v>45002</v>
      </c>
      <c r="C204" t="s">
        <v>90</v>
      </c>
      <c r="D204" t="s">
        <v>91</v>
      </c>
      <c r="E204" t="s">
        <v>11</v>
      </c>
      <c r="F204" t="s">
        <v>12</v>
      </c>
      <c r="G204">
        <v>1</v>
      </c>
      <c r="H204">
        <v>425000</v>
      </c>
      <c r="I204">
        <v>0</v>
      </c>
      <c r="J204" t="s">
        <v>41</v>
      </c>
      <c r="K204" s="14">
        <f t="shared" si="3"/>
        <v>425000</v>
      </c>
    </row>
    <row r="205" spans="1:11">
      <c r="A205" t="s">
        <v>295</v>
      </c>
      <c r="B205" s="2">
        <v>44999</v>
      </c>
      <c r="C205" t="s">
        <v>101</v>
      </c>
      <c r="D205" t="s">
        <v>102</v>
      </c>
      <c r="E205" t="s">
        <v>11</v>
      </c>
      <c r="F205" t="s">
        <v>12</v>
      </c>
      <c r="G205">
        <v>1</v>
      </c>
      <c r="H205">
        <v>430000</v>
      </c>
      <c r="I205">
        <v>0</v>
      </c>
      <c r="J205" t="s">
        <v>71</v>
      </c>
      <c r="K205" s="14">
        <f t="shared" si="3"/>
        <v>430000</v>
      </c>
    </row>
    <row r="206" spans="1:11">
      <c r="A206" t="s">
        <v>296</v>
      </c>
      <c r="B206" s="2">
        <v>45239</v>
      </c>
      <c r="C206" t="s">
        <v>250</v>
      </c>
      <c r="D206" t="s">
        <v>53</v>
      </c>
      <c r="E206" t="s">
        <v>36</v>
      </c>
      <c r="F206" t="s">
        <v>62</v>
      </c>
      <c r="G206">
        <v>4</v>
      </c>
      <c r="H206">
        <v>195000</v>
      </c>
      <c r="I206">
        <v>15</v>
      </c>
      <c r="J206" t="s">
        <v>16</v>
      </c>
      <c r="K206" s="14">
        <f t="shared" si="3"/>
        <v>663000</v>
      </c>
    </row>
    <row r="207" spans="1:11">
      <c r="A207" t="s">
        <v>297</v>
      </c>
      <c r="B207" s="2">
        <v>45024</v>
      </c>
      <c r="C207" t="s">
        <v>133</v>
      </c>
      <c r="D207" t="s">
        <v>102</v>
      </c>
      <c r="E207" t="s">
        <v>11</v>
      </c>
      <c r="F207" t="s">
        <v>62</v>
      </c>
      <c r="G207">
        <v>2</v>
      </c>
      <c r="H207">
        <v>430000</v>
      </c>
      <c r="I207">
        <v>0</v>
      </c>
      <c r="J207" t="s">
        <v>16</v>
      </c>
      <c r="K207" s="14">
        <f t="shared" si="3"/>
        <v>860000</v>
      </c>
    </row>
    <row r="208" spans="1:11">
      <c r="A208" t="s">
        <v>298</v>
      </c>
      <c r="B208" s="2">
        <v>45241</v>
      </c>
      <c r="C208" t="s">
        <v>299</v>
      </c>
      <c r="D208" t="s">
        <v>120</v>
      </c>
      <c r="E208" t="s">
        <v>11</v>
      </c>
      <c r="F208" t="s">
        <v>12</v>
      </c>
      <c r="G208">
        <v>3</v>
      </c>
      <c r="H208">
        <v>440000</v>
      </c>
      <c r="I208">
        <v>0</v>
      </c>
      <c r="J208" t="s">
        <v>16</v>
      </c>
      <c r="K208" s="14">
        <f t="shared" si="3"/>
        <v>1320000</v>
      </c>
    </row>
    <row r="209" spans="1:11">
      <c r="A209" t="s">
        <v>300</v>
      </c>
      <c r="B209" s="2">
        <v>45097</v>
      </c>
      <c r="C209" t="s">
        <v>131</v>
      </c>
      <c r="D209" t="s">
        <v>132</v>
      </c>
      <c r="E209" t="s">
        <v>20</v>
      </c>
      <c r="F209" t="s">
        <v>12</v>
      </c>
      <c r="G209">
        <v>1</v>
      </c>
      <c r="H209">
        <v>280000</v>
      </c>
      <c r="I209">
        <v>0</v>
      </c>
      <c r="J209" t="s">
        <v>41</v>
      </c>
      <c r="K209" s="14">
        <f t="shared" si="3"/>
        <v>280000</v>
      </c>
    </row>
    <row r="210" spans="1:11">
      <c r="A210" t="s">
        <v>301</v>
      </c>
      <c r="B210" s="2">
        <v>44998</v>
      </c>
      <c r="C210" t="s">
        <v>34</v>
      </c>
      <c r="D210" t="s">
        <v>35</v>
      </c>
      <c r="E210" t="s">
        <v>36</v>
      </c>
      <c r="F210" t="s">
        <v>1268</v>
      </c>
      <c r="G210">
        <v>3</v>
      </c>
      <c r="H210">
        <v>198000</v>
      </c>
      <c r="I210">
        <v>0</v>
      </c>
      <c r="J210" t="s">
        <v>21</v>
      </c>
      <c r="K210" s="14">
        <f t="shared" si="3"/>
        <v>594000</v>
      </c>
    </row>
    <row r="211" spans="1:11">
      <c r="A211" t="s">
        <v>302</v>
      </c>
      <c r="B211" s="2">
        <v>45197</v>
      </c>
      <c r="C211" t="s">
        <v>55</v>
      </c>
      <c r="D211" t="s">
        <v>56</v>
      </c>
      <c r="E211" t="s">
        <v>57</v>
      </c>
      <c r="F211" t="s">
        <v>62</v>
      </c>
      <c r="G211">
        <v>1</v>
      </c>
      <c r="H211">
        <v>105000</v>
      </c>
      <c r="I211">
        <v>10</v>
      </c>
      <c r="J211" t="s">
        <v>16</v>
      </c>
      <c r="K211" s="14">
        <f t="shared" si="3"/>
        <v>94500</v>
      </c>
    </row>
    <row r="212" spans="1:11">
      <c r="A212" t="s">
        <v>303</v>
      </c>
      <c r="B212" s="2">
        <v>45195</v>
      </c>
      <c r="C212" t="s">
        <v>52</v>
      </c>
      <c r="D212" t="s">
        <v>53</v>
      </c>
      <c r="E212" t="s">
        <v>1293</v>
      </c>
      <c r="F212" t="s">
        <v>12</v>
      </c>
      <c r="G212">
        <v>2</v>
      </c>
      <c r="H212">
        <v>195000</v>
      </c>
      <c r="I212">
        <v>0</v>
      </c>
      <c r="J212" t="s">
        <v>16</v>
      </c>
      <c r="K212" s="14">
        <f t="shared" si="3"/>
        <v>390000</v>
      </c>
    </row>
    <row r="213" spans="1:11">
      <c r="A213" t="s">
        <v>304</v>
      </c>
      <c r="B213" s="2">
        <v>45268</v>
      </c>
      <c r="C213" t="s">
        <v>70</v>
      </c>
      <c r="D213" t="s">
        <v>65</v>
      </c>
      <c r="E213" t="s">
        <v>66</v>
      </c>
      <c r="F213" t="s">
        <v>12</v>
      </c>
      <c r="G213">
        <v>3</v>
      </c>
      <c r="H213">
        <v>295000</v>
      </c>
      <c r="I213">
        <v>0</v>
      </c>
      <c r="J213" t="s">
        <v>21</v>
      </c>
      <c r="K213" s="14">
        <f t="shared" si="3"/>
        <v>885000</v>
      </c>
    </row>
    <row r="214" spans="1:11">
      <c r="A214" t="s">
        <v>305</v>
      </c>
      <c r="B214" s="2">
        <v>45018</v>
      </c>
      <c r="C214" t="s">
        <v>52</v>
      </c>
      <c r="D214" t="s">
        <v>53</v>
      </c>
      <c r="E214" t="s">
        <v>1293</v>
      </c>
      <c r="F214" t="s">
        <v>12</v>
      </c>
      <c r="G214">
        <v>1</v>
      </c>
      <c r="H214">
        <v>195000</v>
      </c>
      <c r="I214">
        <v>0</v>
      </c>
      <c r="J214" t="s">
        <v>41</v>
      </c>
      <c r="K214" s="14">
        <f t="shared" si="3"/>
        <v>195000</v>
      </c>
    </row>
    <row r="215" spans="1:11">
      <c r="A215" t="s">
        <v>306</v>
      </c>
      <c r="B215" s="2">
        <v>45250</v>
      </c>
      <c r="C215" t="s">
        <v>38</v>
      </c>
      <c r="D215" t="s">
        <v>39</v>
      </c>
      <c r="E215" t="s">
        <v>40</v>
      </c>
      <c r="F215" t="s">
        <v>12</v>
      </c>
      <c r="G215">
        <v>2</v>
      </c>
      <c r="H215">
        <v>320000</v>
      </c>
      <c r="I215">
        <v>0</v>
      </c>
      <c r="J215" t="s">
        <v>21</v>
      </c>
      <c r="K215" s="14">
        <f t="shared" si="3"/>
        <v>640000</v>
      </c>
    </row>
    <row r="216" spans="1:11">
      <c r="A216" t="s">
        <v>307</v>
      </c>
      <c r="B216" s="2">
        <v>45098</v>
      </c>
      <c r="C216" t="s">
        <v>101</v>
      </c>
      <c r="D216" t="s">
        <v>102</v>
      </c>
      <c r="E216" t="s">
        <v>11</v>
      </c>
      <c r="F216" t="s">
        <v>12</v>
      </c>
      <c r="G216">
        <v>2</v>
      </c>
      <c r="H216">
        <v>430000</v>
      </c>
      <c r="I216">
        <v>0</v>
      </c>
      <c r="J216" t="s">
        <v>21</v>
      </c>
      <c r="K216" s="14">
        <f t="shared" si="3"/>
        <v>860000</v>
      </c>
    </row>
    <row r="217" spans="1:11">
      <c r="A217" t="s">
        <v>308</v>
      </c>
      <c r="B217" s="2">
        <v>45127</v>
      </c>
      <c r="C217" t="s">
        <v>75</v>
      </c>
      <c r="D217" t="s">
        <v>32</v>
      </c>
      <c r="E217" t="s">
        <v>29</v>
      </c>
      <c r="F217" t="s">
        <v>12</v>
      </c>
      <c r="G217">
        <v>1</v>
      </c>
      <c r="H217">
        <v>215000</v>
      </c>
      <c r="I217">
        <v>0</v>
      </c>
      <c r="J217" t="s">
        <v>1268</v>
      </c>
      <c r="K217" s="14">
        <f t="shared" si="3"/>
        <v>215000</v>
      </c>
    </row>
    <row r="218" spans="1:11">
      <c r="A218" t="s">
        <v>309</v>
      </c>
      <c r="B218" s="2">
        <v>45144</v>
      </c>
      <c r="C218" t="s">
        <v>34</v>
      </c>
      <c r="D218" t="s">
        <v>35</v>
      </c>
      <c r="E218" t="s">
        <v>36</v>
      </c>
      <c r="F218" t="s">
        <v>12</v>
      </c>
      <c r="G218">
        <v>2</v>
      </c>
      <c r="H218">
        <v>198000</v>
      </c>
      <c r="I218">
        <v>0</v>
      </c>
      <c r="J218" t="s">
        <v>16</v>
      </c>
      <c r="K218" s="14">
        <f t="shared" si="3"/>
        <v>396000</v>
      </c>
    </row>
    <row r="219" spans="1:11">
      <c r="A219" t="s">
        <v>310</v>
      </c>
      <c r="B219" s="2">
        <v>45090</v>
      </c>
      <c r="C219" t="s">
        <v>18</v>
      </c>
      <c r="D219" t="s">
        <v>19</v>
      </c>
      <c r="E219" t="s">
        <v>20</v>
      </c>
      <c r="F219" t="s">
        <v>12</v>
      </c>
      <c r="G219">
        <v>4</v>
      </c>
      <c r="H219">
        <v>265000</v>
      </c>
      <c r="I219">
        <v>0</v>
      </c>
      <c r="J219" t="s">
        <v>16</v>
      </c>
      <c r="K219" s="14">
        <f t="shared" si="3"/>
        <v>1060000</v>
      </c>
    </row>
    <row r="220" spans="1:11">
      <c r="A220" t="s">
        <v>311</v>
      </c>
      <c r="B220" s="2">
        <v>45061</v>
      </c>
      <c r="C220" t="s">
        <v>133</v>
      </c>
      <c r="D220" t="s">
        <v>102</v>
      </c>
      <c r="E220" t="s">
        <v>11</v>
      </c>
      <c r="F220" t="s">
        <v>62</v>
      </c>
      <c r="G220">
        <v>5</v>
      </c>
      <c r="H220">
        <v>430000</v>
      </c>
      <c r="I220">
        <v>0</v>
      </c>
      <c r="J220" t="s">
        <v>287</v>
      </c>
      <c r="K220" s="14">
        <f t="shared" si="3"/>
        <v>2150000</v>
      </c>
    </row>
    <row r="221" spans="1:11">
      <c r="A221" t="s">
        <v>312</v>
      </c>
      <c r="B221" s="2">
        <v>45068</v>
      </c>
      <c r="C221" t="s">
        <v>46</v>
      </c>
      <c r="D221" t="s">
        <v>44</v>
      </c>
      <c r="E221" t="s">
        <v>1290</v>
      </c>
      <c r="F221" t="s">
        <v>12</v>
      </c>
      <c r="G221">
        <v>2</v>
      </c>
      <c r="H221">
        <v>235000</v>
      </c>
      <c r="I221">
        <v>0</v>
      </c>
      <c r="J221" t="s">
        <v>21</v>
      </c>
      <c r="K221" s="14">
        <f t="shared" si="3"/>
        <v>470000</v>
      </c>
    </row>
    <row r="222" spans="1:11">
      <c r="A222" t="s">
        <v>313</v>
      </c>
      <c r="B222" s="2">
        <v>45129</v>
      </c>
      <c r="C222" t="s">
        <v>34</v>
      </c>
      <c r="D222" t="s">
        <v>35</v>
      </c>
      <c r="E222" t="s">
        <v>36</v>
      </c>
      <c r="F222" t="s">
        <v>12</v>
      </c>
      <c r="G222">
        <v>1</v>
      </c>
      <c r="H222">
        <v>198000</v>
      </c>
      <c r="I222">
        <v>0</v>
      </c>
      <c r="J222" t="s">
        <v>16</v>
      </c>
      <c r="K222" s="14">
        <f t="shared" si="3"/>
        <v>198000</v>
      </c>
    </row>
    <row r="223" spans="1:11">
      <c r="A223" t="s">
        <v>314</v>
      </c>
      <c r="B223" s="2">
        <v>45273</v>
      </c>
      <c r="C223" t="s">
        <v>131</v>
      </c>
      <c r="D223" t="s">
        <v>132</v>
      </c>
      <c r="E223" t="s">
        <v>20</v>
      </c>
      <c r="F223" t="s">
        <v>12</v>
      </c>
      <c r="G223">
        <v>2</v>
      </c>
      <c r="H223">
        <v>280000</v>
      </c>
      <c r="I223">
        <v>15</v>
      </c>
      <c r="J223" t="s">
        <v>71</v>
      </c>
      <c r="K223" s="14">
        <f t="shared" si="3"/>
        <v>476000</v>
      </c>
    </row>
    <row r="224" spans="1:11">
      <c r="A224" t="s">
        <v>315</v>
      </c>
      <c r="B224" s="2">
        <v>45221</v>
      </c>
      <c r="C224" t="s">
        <v>147</v>
      </c>
      <c r="D224" t="s">
        <v>148</v>
      </c>
      <c r="E224" t="s">
        <v>66</v>
      </c>
      <c r="F224" t="s">
        <v>12</v>
      </c>
      <c r="G224">
        <v>1</v>
      </c>
      <c r="H224">
        <v>305000</v>
      </c>
      <c r="I224">
        <v>0</v>
      </c>
      <c r="J224" t="s">
        <v>13</v>
      </c>
      <c r="K224" s="14">
        <f t="shared" si="3"/>
        <v>305000</v>
      </c>
    </row>
    <row r="225" spans="1:11">
      <c r="A225" t="s">
        <v>316</v>
      </c>
      <c r="B225" s="2">
        <v>44989</v>
      </c>
      <c r="C225" t="s">
        <v>242</v>
      </c>
      <c r="D225" t="s">
        <v>97</v>
      </c>
      <c r="E225" t="s">
        <v>98</v>
      </c>
      <c r="F225" t="s">
        <v>62</v>
      </c>
      <c r="G225">
        <v>3</v>
      </c>
      <c r="H225">
        <v>170000</v>
      </c>
      <c r="I225">
        <v>5</v>
      </c>
      <c r="J225" t="s">
        <v>71</v>
      </c>
      <c r="K225" s="14">
        <f t="shared" si="3"/>
        <v>484500</v>
      </c>
    </row>
    <row r="226" spans="1:11">
      <c r="A226" t="s">
        <v>317</v>
      </c>
      <c r="B226" s="2">
        <v>45280</v>
      </c>
      <c r="C226" t="s">
        <v>147</v>
      </c>
      <c r="D226" t="s">
        <v>148</v>
      </c>
      <c r="E226" t="s">
        <v>66</v>
      </c>
      <c r="F226" t="s">
        <v>12</v>
      </c>
      <c r="G226">
        <v>-2</v>
      </c>
      <c r="H226">
        <v>305000</v>
      </c>
      <c r="I226">
        <v>5</v>
      </c>
      <c r="J226" t="s">
        <v>16</v>
      </c>
      <c r="K226" s="14">
        <f t="shared" si="3"/>
        <v>-579500</v>
      </c>
    </row>
    <row r="227" spans="1:11">
      <c r="A227" t="s">
        <v>318</v>
      </c>
      <c r="B227" s="2">
        <v>44977</v>
      </c>
      <c r="C227" t="s">
        <v>64</v>
      </c>
      <c r="D227" t="s">
        <v>65</v>
      </c>
      <c r="E227" t="s">
        <v>66</v>
      </c>
      <c r="F227" t="s">
        <v>1268</v>
      </c>
      <c r="G227">
        <v>1</v>
      </c>
      <c r="H227">
        <v>295000</v>
      </c>
      <c r="I227">
        <v>0</v>
      </c>
      <c r="J227" t="s">
        <v>16</v>
      </c>
      <c r="K227" s="14">
        <f t="shared" si="3"/>
        <v>295000</v>
      </c>
    </row>
    <row r="228" spans="1:11">
      <c r="A228" t="s">
        <v>319</v>
      </c>
      <c r="B228" s="2">
        <v>45108</v>
      </c>
      <c r="C228" t="s">
        <v>228</v>
      </c>
      <c r="D228" t="s">
        <v>50</v>
      </c>
      <c r="E228" t="s">
        <v>29</v>
      </c>
      <c r="F228" t="s">
        <v>12</v>
      </c>
      <c r="G228">
        <v>5</v>
      </c>
      <c r="H228">
        <v>220000</v>
      </c>
      <c r="I228">
        <v>15</v>
      </c>
      <c r="J228" t="s">
        <v>1268</v>
      </c>
      <c r="K228" s="14">
        <f t="shared" si="3"/>
        <v>935000</v>
      </c>
    </row>
    <row r="229" spans="1:11">
      <c r="A229" t="s">
        <v>320</v>
      </c>
      <c r="B229" s="2">
        <v>44930</v>
      </c>
      <c r="C229" t="s">
        <v>242</v>
      </c>
      <c r="D229" t="s">
        <v>97</v>
      </c>
      <c r="E229" t="s">
        <v>98</v>
      </c>
      <c r="F229" t="s">
        <v>62</v>
      </c>
      <c r="G229">
        <v>2</v>
      </c>
      <c r="H229">
        <v>170000</v>
      </c>
      <c r="I229">
        <v>5</v>
      </c>
      <c r="J229" t="s">
        <v>16</v>
      </c>
      <c r="K229" s="14">
        <f t="shared" si="3"/>
        <v>323000</v>
      </c>
    </row>
    <row r="230" spans="1:11">
      <c r="A230" t="s">
        <v>321</v>
      </c>
      <c r="B230" s="2">
        <v>45170</v>
      </c>
      <c r="C230" t="s">
        <v>96</v>
      </c>
      <c r="D230" t="s">
        <v>97</v>
      </c>
      <c r="E230" t="s">
        <v>98</v>
      </c>
      <c r="F230" t="s">
        <v>12</v>
      </c>
      <c r="G230">
        <v>1</v>
      </c>
      <c r="H230">
        <v>170000</v>
      </c>
      <c r="I230">
        <v>0</v>
      </c>
      <c r="J230" t="s">
        <v>13</v>
      </c>
      <c r="K230" s="14">
        <f t="shared" si="3"/>
        <v>170000</v>
      </c>
    </row>
    <row r="231" spans="1:11">
      <c r="A231" t="s">
        <v>322</v>
      </c>
      <c r="B231" s="2">
        <v>45147</v>
      </c>
      <c r="C231" t="s">
        <v>108</v>
      </c>
      <c r="D231" t="s">
        <v>56</v>
      </c>
      <c r="E231" t="s">
        <v>57</v>
      </c>
      <c r="F231" t="s">
        <v>12</v>
      </c>
      <c r="G231">
        <v>5</v>
      </c>
      <c r="H231">
        <v>105000</v>
      </c>
      <c r="I231">
        <v>0</v>
      </c>
      <c r="J231" t="s">
        <v>16</v>
      </c>
      <c r="K231" s="14">
        <f t="shared" si="3"/>
        <v>525000</v>
      </c>
    </row>
    <row r="232" spans="1:11">
      <c r="A232" t="s">
        <v>323</v>
      </c>
      <c r="B232" s="2">
        <v>44990</v>
      </c>
      <c r="C232" t="s">
        <v>52</v>
      </c>
      <c r="D232" t="s">
        <v>53</v>
      </c>
      <c r="E232" t="s">
        <v>1293</v>
      </c>
      <c r="F232" t="s">
        <v>12</v>
      </c>
      <c r="G232">
        <v>4</v>
      </c>
      <c r="H232">
        <v>195000</v>
      </c>
      <c r="I232">
        <v>0</v>
      </c>
      <c r="J232" t="s">
        <v>16</v>
      </c>
      <c r="K232" s="14">
        <f t="shared" si="3"/>
        <v>780000</v>
      </c>
    </row>
    <row r="233" spans="1:11">
      <c r="A233" t="s">
        <v>324</v>
      </c>
      <c r="B233" s="2">
        <v>45224</v>
      </c>
      <c r="C233" t="s">
        <v>23</v>
      </c>
      <c r="D233" t="s">
        <v>24</v>
      </c>
      <c r="E233" t="s">
        <v>25</v>
      </c>
      <c r="F233" t="s">
        <v>12</v>
      </c>
      <c r="G233">
        <v>1</v>
      </c>
      <c r="H233">
        <v>182000</v>
      </c>
      <c r="I233">
        <v>15</v>
      </c>
      <c r="J233" t="s">
        <v>21</v>
      </c>
      <c r="K233" s="14">
        <f t="shared" si="3"/>
        <v>154700</v>
      </c>
    </row>
    <row r="234" spans="1:11">
      <c r="A234" t="s">
        <v>325</v>
      </c>
      <c r="B234" s="2">
        <v>45283</v>
      </c>
      <c r="C234" t="s">
        <v>23</v>
      </c>
      <c r="D234" t="s">
        <v>24</v>
      </c>
      <c r="E234" t="s">
        <v>25</v>
      </c>
      <c r="F234" t="s">
        <v>12</v>
      </c>
      <c r="G234">
        <v>1</v>
      </c>
      <c r="H234">
        <v>182000</v>
      </c>
      <c r="I234">
        <v>15</v>
      </c>
      <c r="J234" t="s">
        <v>21</v>
      </c>
      <c r="K234" s="14">
        <f t="shared" si="3"/>
        <v>154700</v>
      </c>
    </row>
    <row r="235" spans="1:11">
      <c r="A235" t="s">
        <v>326</v>
      </c>
      <c r="B235" s="2">
        <v>45237</v>
      </c>
      <c r="C235" t="s">
        <v>147</v>
      </c>
      <c r="D235" t="s">
        <v>148</v>
      </c>
      <c r="E235" t="s">
        <v>66</v>
      </c>
      <c r="F235" t="s">
        <v>1268</v>
      </c>
      <c r="G235">
        <v>4</v>
      </c>
      <c r="H235">
        <v>305000</v>
      </c>
      <c r="I235">
        <v>0</v>
      </c>
      <c r="J235" t="s">
        <v>41</v>
      </c>
      <c r="K235" s="14">
        <f t="shared" si="3"/>
        <v>1220000</v>
      </c>
    </row>
    <row r="236" spans="1:11">
      <c r="A236" t="s">
        <v>327</v>
      </c>
      <c r="B236" s="2">
        <v>45208</v>
      </c>
      <c r="C236" t="s">
        <v>55</v>
      </c>
      <c r="D236" t="s">
        <v>56</v>
      </c>
      <c r="E236" t="s">
        <v>57</v>
      </c>
      <c r="F236" t="s">
        <v>62</v>
      </c>
      <c r="G236">
        <v>2</v>
      </c>
      <c r="H236">
        <v>105000</v>
      </c>
      <c r="I236">
        <v>5</v>
      </c>
      <c r="J236" t="s">
        <v>71</v>
      </c>
      <c r="K236" s="14">
        <f t="shared" si="3"/>
        <v>199500</v>
      </c>
    </row>
    <row r="237" spans="1:11">
      <c r="A237" t="s">
        <v>328</v>
      </c>
      <c r="B237" s="2">
        <v>45265</v>
      </c>
      <c r="C237" t="s">
        <v>101</v>
      </c>
      <c r="D237" t="s">
        <v>102</v>
      </c>
      <c r="E237" t="s">
        <v>11</v>
      </c>
      <c r="F237" t="s">
        <v>1268</v>
      </c>
      <c r="G237">
        <v>5</v>
      </c>
      <c r="H237">
        <v>430000</v>
      </c>
      <c r="I237">
        <v>0</v>
      </c>
      <c r="J237" t="s">
        <v>21</v>
      </c>
      <c r="K237" s="14">
        <f t="shared" si="3"/>
        <v>2150000</v>
      </c>
    </row>
    <row r="238" spans="1:11">
      <c r="A238" t="s">
        <v>329</v>
      </c>
      <c r="B238" s="2">
        <v>45032</v>
      </c>
      <c r="C238" t="s">
        <v>88</v>
      </c>
      <c r="D238" t="s">
        <v>10</v>
      </c>
      <c r="E238" t="s">
        <v>11</v>
      </c>
      <c r="F238" t="s">
        <v>62</v>
      </c>
      <c r="G238">
        <v>1</v>
      </c>
      <c r="H238">
        <v>420000</v>
      </c>
      <c r="I238">
        <v>15</v>
      </c>
      <c r="J238" t="s">
        <v>21</v>
      </c>
      <c r="K238" s="14">
        <f t="shared" si="3"/>
        <v>357000</v>
      </c>
    </row>
    <row r="239" spans="1:11">
      <c r="A239" t="s">
        <v>330</v>
      </c>
      <c r="B239" s="2">
        <v>45203</v>
      </c>
      <c r="C239" t="s">
        <v>46</v>
      </c>
      <c r="D239" t="s">
        <v>44</v>
      </c>
      <c r="E239" t="s">
        <v>1290</v>
      </c>
      <c r="F239" t="s">
        <v>12</v>
      </c>
      <c r="G239">
        <v>1</v>
      </c>
      <c r="H239">
        <v>235000</v>
      </c>
      <c r="I239">
        <v>10</v>
      </c>
      <c r="J239" t="s">
        <v>16</v>
      </c>
      <c r="K239" s="14">
        <f t="shared" si="3"/>
        <v>211500</v>
      </c>
    </row>
    <row r="240" spans="1:11">
      <c r="A240" t="s">
        <v>331</v>
      </c>
      <c r="B240" s="2">
        <v>45199</v>
      </c>
      <c r="C240" t="s">
        <v>122</v>
      </c>
      <c r="D240" t="s">
        <v>123</v>
      </c>
      <c r="E240" t="s">
        <v>124</v>
      </c>
      <c r="F240" t="s">
        <v>12</v>
      </c>
      <c r="G240">
        <v>1</v>
      </c>
      <c r="H240">
        <v>228000</v>
      </c>
      <c r="I240">
        <v>20</v>
      </c>
      <c r="J240" t="s">
        <v>21</v>
      </c>
      <c r="K240" s="14">
        <f t="shared" si="3"/>
        <v>182400</v>
      </c>
    </row>
    <row r="241" spans="1:11">
      <c r="A241" t="s">
        <v>332</v>
      </c>
      <c r="B241" s="2">
        <v>45052</v>
      </c>
      <c r="C241" t="s">
        <v>70</v>
      </c>
      <c r="D241" t="s">
        <v>65</v>
      </c>
      <c r="E241" t="s">
        <v>66</v>
      </c>
      <c r="F241" t="s">
        <v>12</v>
      </c>
      <c r="G241">
        <v>-3</v>
      </c>
      <c r="H241">
        <v>295000</v>
      </c>
      <c r="I241">
        <v>0</v>
      </c>
      <c r="J241" t="s">
        <v>21</v>
      </c>
      <c r="K241" s="14">
        <f t="shared" si="3"/>
        <v>-885000</v>
      </c>
    </row>
    <row r="242" spans="1:11">
      <c r="A242" t="s">
        <v>333</v>
      </c>
      <c r="B242" s="2">
        <v>45079</v>
      </c>
      <c r="C242" t="s">
        <v>18</v>
      </c>
      <c r="D242" t="s">
        <v>19</v>
      </c>
      <c r="E242" t="s">
        <v>20</v>
      </c>
      <c r="F242" t="s">
        <v>12</v>
      </c>
      <c r="G242">
        <v>4</v>
      </c>
      <c r="H242">
        <v>265000</v>
      </c>
      <c r="I242">
        <v>0</v>
      </c>
      <c r="J242" t="s">
        <v>21</v>
      </c>
      <c r="K242" s="14">
        <f t="shared" si="3"/>
        <v>1060000</v>
      </c>
    </row>
    <row r="243" spans="1:11">
      <c r="A243" t="s">
        <v>334</v>
      </c>
      <c r="B243" s="2">
        <v>44993</v>
      </c>
      <c r="C243" t="s">
        <v>94</v>
      </c>
      <c r="D243" t="s">
        <v>50</v>
      </c>
      <c r="E243" t="s">
        <v>29</v>
      </c>
      <c r="F243" t="s">
        <v>68</v>
      </c>
      <c r="G243">
        <v>1</v>
      </c>
      <c r="H243">
        <v>220000</v>
      </c>
      <c r="I243">
        <v>0</v>
      </c>
      <c r="J243" t="s">
        <v>21</v>
      </c>
      <c r="K243" s="14">
        <f t="shared" si="3"/>
        <v>220000</v>
      </c>
    </row>
    <row r="244" spans="1:11">
      <c r="A244" t="s">
        <v>335</v>
      </c>
      <c r="B244" s="2">
        <v>45062</v>
      </c>
      <c r="C244" t="s">
        <v>215</v>
      </c>
      <c r="D244" t="s">
        <v>10</v>
      </c>
      <c r="E244" t="s">
        <v>11</v>
      </c>
      <c r="F244" t="s">
        <v>12</v>
      </c>
      <c r="G244">
        <v>5</v>
      </c>
      <c r="H244">
        <v>420000</v>
      </c>
      <c r="I244">
        <v>15</v>
      </c>
      <c r="J244" t="s">
        <v>16</v>
      </c>
      <c r="K244" s="14">
        <f t="shared" si="3"/>
        <v>1785000</v>
      </c>
    </row>
    <row r="245" spans="1:11">
      <c r="A245" t="s">
        <v>336</v>
      </c>
      <c r="B245" s="2">
        <v>45119</v>
      </c>
      <c r="C245" t="s">
        <v>173</v>
      </c>
      <c r="D245" t="s">
        <v>39</v>
      </c>
      <c r="E245" t="s">
        <v>40</v>
      </c>
      <c r="F245" t="s">
        <v>68</v>
      </c>
      <c r="G245">
        <v>1</v>
      </c>
      <c r="H245">
        <v>320000</v>
      </c>
      <c r="I245">
        <v>0</v>
      </c>
      <c r="J245" t="s">
        <v>41</v>
      </c>
      <c r="K245" s="14">
        <f t="shared" si="3"/>
        <v>320000</v>
      </c>
    </row>
    <row r="246" spans="1:11">
      <c r="A246" t="s">
        <v>337</v>
      </c>
      <c r="B246" s="2">
        <v>45071</v>
      </c>
      <c r="C246" t="s">
        <v>23</v>
      </c>
      <c r="D246" t="s">
        <v>24</v>
      </c>
      <c r="E246" t="s">
        <v>25</v>
      </c>
      <c r="F246" t="s">
        <v>12</v>
      </c>
      <c r="G246">
        <v>1</v>
      </c>
      <c r="H246">
        <v>182000</v>
      </c>
      <c r="I246">
        <v>15</v>
      </c>
      <c r="J246" t="s">
        <v>71</v>
      </c>
      <c r="K246" s="14">
        <f t="shared" si="3"/>
        <v>154700</v>
      </c>
    </row>
    <row r="247" spans="1:11">
      <c r="A247" t="s">
        <v>338</v>
      </c>
      <c r="B247" s="2">
        <v>45216</v>
      </c>
      <c r="C247" t="s">
        <v>147</v>
      </c>
      <c r="D247" t="s">
        <v>148</v>
      </c>
      <c r="E247" t="s">
        <v>66</v>
      </c>
      <c r="F247" t="s">
        <v>12</v>
      </c>
      <c r="G247">
        <v>1</v>
      </c>
      <c r="H247">
        <v>305000</v>
      </c>
      <c r="I247">
        <v>0</v>
      </c>
      <c r="J247" t="s">
        <v>16</v>
      </c>
      <c r="K247" s="14">
        <f t="shared" si="3"/>
        <v>305000</v>
      </c>
    </row>
    <row r="248" spans="1:11">
      <c r="A248" t="s">
        <v>339</v>
      </c>
      <c r="B248" s="2">
        <v>45235</v>
      </c>
      <c r="C248" t="s">
        <v>144</v>
      </c>
      <c r="D248" t="s">
        <v>142</v>
      </c>
      <c r="E248" t="s">
        <v>66</v>
      </c>
      <c r="F248" t="s">
        <v>12</v>
      </c>
      <c r="G248">
        <v>1</v>
      </c>
      <c r="H248">
        <v>330000</v>
      </c>
      <c r="I248">
        <v>5</v>
      </c>
      <c r="J248" t="s">
        <v>71</v>
      </c>
      <c r="K248" s="14">
        <f t="shared" si="3"/>
        <v>313500</v>
      </c>
    </row>
    <row r="249" spans="1:11">
      <c r="A249" t="s">
        <v>340</v>
      </c>
      <c r="B249" s="2">
        <v>45291</v>
      </c>
      <c r="C249" t="s">
        <v>147</v>
      </c>
      <c r="D249" t="s">
        <v>148</v>
      </c>
      <c r="E249" t="s">
        <v>66</v>
      </c>
      <c r="F249" t="s">
        <v>12</v>
      </c>
      <c r="G249">
        <v>3</v>
      </c>
      <c r="H249">
        <v>305000</v>
      </c>
      <c r="I249">
        <v>0</v>
      </c>
      <c r="J249" t="s">
        <v>21</v>
      </c>
      <c r="K249" s="14">
        <f t="shared" ref="K249:K312" si="4">G249*H249*(1-I249/100)</f>
        <v>915000</v>
      </c>
    </row>
    <row r="250" spans="1:11">
      <c r="A250" t="s">
        <v>341</v>
      </c>
      <c r="B250" s="2">
        <v>45148</v>
      </c>
      <c r="C250" t="s">
        <v>162</v>
      </c>
      <c r="D250" t="s">
        <v>56</v>
      </c>
      <c r="E250" t="s">
        <v>57</v>
      </c>
      <c r="F250" t="s">
        <v>68</v>
      </c>
      <c r="G250">
        <v>1</v>
      </c>
      <c r="H250">
        <v>105000</v>
      </c>
      <c r="I250">
        <v>10</v>
      </c>
      <c r="J250" t="s">
        <v>16</v>
      </c>
      <c r="K250" s="14">
        <f t="shared" si="4"/>
        <v>94500</v>
      </c>
    </row>
    <row r="251" spans="1:11">
      <c r="A251" t="s">
        <v>342</v>
      </c>
      <c r="B251" s="2">
        <v>45220</v>
      </c>
      <c r="C251" t="s">
        <v>34</v>
      </c>
      <c r="D251" t="s">
        <v>35</v>
      </c>
      <c r="E251" t="s">
        <v>36</v>
      </c>
      <c r="F251" t="s">
        <v>12</v>
      </c>
      <c r="G251">
        <v>1</v>
      </c>
      <c r="H251">
        <v>198000</v>
      </c>
      <c r="I251">
        <v>0</v>
      </c>
      <c r="J251" t="s">
        <v>21</v>
      </c>
      <c r="K251" s="14">
        <f t="shared" si="4"/>
        <v>198000</v>
      </c>
    </row>
    <row r="252" spans="1:11">
      <c r="A252" t="s">
        <v>343</v>
      </c>
      <c r="B252" s="2">
        <v>44972</v>
      </c>
      <c r="C252" t="s">
        <v>75</v>
      </c>
      <c r="D252" t="s">
        <v>32</v>
      </c>
      <c r="E252" t="s">
        <v>29</v>
      </c>
      <c r="F252" t="s">
        <v>12</v>
      </c>
      <c r="G252">
        <v>1</v>
      </c>
      <c r="H252">
        <v>215000</v>
      </c>
      <c r="I252">
        <v>0</v>
      </c>
      <c r="J252" t="s">
        <v>21</v>
      </c>
      <c r="K252" s="14">
        <f t="shared" si="4"/>
        <v>215000</v>
      </c>
    </row>
    <row r="253" spans="1:11">
      <c r="A253" t="s">
        <v>344</v>
      </c>
      <c r="B253" s="2">
        <v>45069</v>
      </c>
      <c r="C253" t="s">
        <v>52</v>
      </c>
      <c r="D253" t="s">
        <v>53</v>
      </c>
      <c r="E253" t="s">
        <v>1293</v>
      </c>
      <c r="F253" t="s">
        <v>12</v>
      </c>
      <c r="G253">
        <v>1</v>
      </c>
      <c r="H253">
        <v>195000</v>
      </c>
      <c r="I253">
        <v>0</v>
      </c>
      <c r="J253" t="s">
        <v>41</v>
      </c>
      <c r="K253" s="14">
        <f t="shared" si="4"/>
        <v>195000</v>
      </c>
    </row>
    <row r="254" spans="1:11">
      <c r="A254" t="s">
        <v>345</v>
      </c>
      <c r="B254" s="2">
        <v>45131</v>
      </c>
      <c r="C254" t="s">
        <v>18</v>
      </c>
      <c r="D254" t="s">
        <v>19</v>
      </c>
      <c r="E254" t="s">
        <v>20</v>
      </c>
      <c r="F254" t="s">
        <v>12</v>
      </c>
      <c r="G254">
        <v>1</v>
      </c>
      <c r="H254">
        <v>265000</v>
      </c>
      <c r="I254">
        <v>0</v>
      </c>
      <c r="J254" t="s">
        <v>41</v>
      </c>
      <c r="K254" s="14">
        <f t="shared" si="4"/>
        <v>265000</v>
      </c>
    </row>
    <row r="255" spans="1:11">
      <c r="A255" t="s">
        <v>346</v>
      </c>
      <c r="B255" s="2">
        <v>45238</v>
      </c>
      <c r="C255" t="s">
        <v>139</v>
      </c>
      <c r="D255" t="s">
        <v>61</v>
      </c>
      <c r="E255" t="s">
        <v>20</v>
      </c>
      <c r="F255" t="s">
        <v>12</v>
      </c>
      <c r="G255">
        <v>1</v>
      </c>
      <c r="H255">
        <v>260000</v>
      </c>
      <c r="I255">
        <v>0</v>
      </c>
      <c r="J255" t="s">
        <v>71</v>
      </c>
      <c r="K255" s="14">
        <f t="shared" si="4"/>
        <v>260000</v>
      </c>
    </row>
    <row r="256" spans="1:11">
      <c r="A256" t="s">
        <v>347</v>
      </c>
      <c r="B256" s="2">
        <v>45254</v>
      </c>
      <c r="C256" t="s">
        <v>242</v>
      </c>
      <c r="D256" t="s">
        <v>97</v>
      </c>
      <c r="E256" t="s">
        <v>98</v>
      </c>
      <c r="F256" t="s">
        <v>62</v>
      </c>
      <c r="G256">
        <v>4</v>
      </c>
      <c r="H256">
        <v>170000</v>
      </c>
      <c r="I256">
        <v>0</v>
      </c>
      <c r="J256" t="s">
        <v>16</v>
      </c>
      <c r="K256" s="14">
        <f t="shared" si="4"/>
        <v>680000</v>
      </c>
    </row>
    <row r="257" spans="1:11">
      <c r="A257" t="s">
        <v>348</v>
      </c>
      <c r="B257" s="2">
        <v>45040</v>
      </c>
      <c r="C257" t="s">
        <v>31</v>
      </c>
      <c r="D257" t="s">
        <v>32</v>
      </c>
      <c r="E257" t="s">
        <v>29</v>
      </c>
      <c r="F257" t="s">
        <v>68</v>
      </c>
      <c r="G257">
        <v>1</v>
      </c>
      <c r="H257">
        <v>215000</v>
      </c>
      <c r="I257">
        <v>0</v>
      </c>
      <c r="J257" t="s">
        <v>16</v>
      </c>
      <c r="K257" s="14">
        <f t="shared" si="4"/>
        <v>215000</v>
      </c>
    </row>
    <row r="258" spans="1:11">
      <c r="A258" t="s">
        <v>349</v>
      </c>
      <c r="B258" s="2">
        <v>45246</v>
      </c>
      <c r="C258" t="s">
        <v>162</v>
      </c>
      <c r="D258" t="s">
        <v>56</v>
      </c>
      <c r="E258" t="s">
        <v>57</v>
      </c>
      <c r="F258" t="s">
        <v>68</v>
      </c>
      <c r="G258">
        <v>1</v>
      </c>
      <c r="H258">
        <v>105000</v>
      </c>
      <c r="I258">
        <v>5</v>
      </c>
      <c r="J258" t="s">
        <v>47</v>
      </c>
      <c r="K258" s="14">
        <f t="shared" si="4"/>
        <v>99750</v>
      </c>
    </row>
    <row r="259" spans="1:11">
      <c r="A259" t="s">
        <v>350</v>
      </c>
      <c r="B259" s="2">
        <v>45274</v>
      </c>
      <c r="C259" t="s">
        <v>228</v>
      </c>
      <c r="D259" t="s">
        <v>50</v>
      </c>
      <c r="E259" t="s">
        <v>29</v>
      </c>
      <c r="F259" t="s">
        <v>12</v>
      </c>
      <c r="G259">
        <v>4</v>
      </c>
      <c r="H259">
        <v>220000</v>
      </c>
      <c r="I259">
        <v>0</v>
      </c>
      <c r="J259" t="s">
        <v>16</v>
      </c>
      <c r="K259" s="14">
        <f t="shared" si="4"/>
        <v>880000</v>
      </c>
    </row>
    <row r="260" spans="1:11">
      <c r="A260" t="s">
        <v>351</v>
      </c>
      <c r="B260" s="2">
        <v>45167</v>
      </c>
      <c r="C260" t="s">
        <v>139</v>
      </c>
      <c r="D260" t="s">
        <v>61</v>
      </c>
      <c r="E260" t="s">
        <v>20</v>
      </c>
      <c r="F260" t="s">
        <v>12</v>
      </c>
      <c r="G260">
        <v>3</v>
      </c>
      <c r="H260">
        <v>260000</v>
      </c>
      <c r="I260">
        <v>0</v>
      </c>
      <c r="J260" t="s">
        <v>16</v>
      </c>
      <c r="K260" s="14">
        <f t="shared" si="4"/>
        <v>780000</v>
      </c>
    </row>
    <row r="261" spans="1:11">
      <c r="A261" t="s">
        <v>352</v>
      </c>
      <c r="B261" s="2">
        <v>45248</v>
      </c>
      <c r="C261" t="s">
        <v>82</v>
      </c>
      <c r="D261" t="s">
        <v>83</v>
      </c>
      <c r="E261" t="s">
        <v>84</v>
      </c>
      <c r="F261" t="s">
        <v>68</v>
      </c>
      <c r="G261">
        <v>1</v>
      </c>
      <c r="H261">
        <v>395000</v>
      </c>
      <c r="I261">
        <v>0</v>
      </c>
      <c r="J261" t="s">
        <v>1268</v>
      </c>
      <c r="K261" s="14">
        <f t="shared" si="4"/>
        <v>395000</v>
      </c>
    </row>
    <row r="262" spans="1:11">
      <c r="A262" t="s">
        <v>353</v>
      </c>
      <c r="B262" s="2">
        <v>45267</v>
      </c>
      <c r="C262" t="s">
        <v>90</v>
      </c>
      <c r="D262" t="s">
        <v>91</v>
      </c>
      <c r="E262" t="s">
        <v>11</v>
      </c>
      <c r="F262" t="s">
        <v>12</v>
      </c>
      <c r="G262">
        <v>1</v>
      </c>
      <c r="H262">
        <v>425000</v>
      </c>
      <c r="I262">
        <v>0</v>
      </c>
      <c r="J262" t="s">
        <v>21</v>
      </c>
      <c r="K262" s="14">
        <f t="shared" si="4"/>
        <v>425000</v>
      </c>
    </row>
    <row r="263" spans="1:11">
      <c r="A263" t="s">
        <v>354</v>
      </c>
      <c r="B263" s="2">
        <v>45010</v>
      </c>
      <c r="C263" t="s">
        <v>215</v>
      </c>
      <c r="D263" t="s">
        <v>10</v>
      </c>
      <c r="E263" t="s">
        <v>11</v>
      </c>
      <c r="F263" t="s">
        <v>12</v>
      </c>
      <c r="G263">
        <v>2</v>
      </c>
      <c r="H263">
        <v>420000</v>
      </c>
      <c r="I263">
        <v>0</v>
      </c>
      <c r="J263" t="s">
        <v>71</v>
      </c>
      <c r="K263" s="14">
        <f t="shared" si="4"/>
        <v>840000</v>
      </c>
    </row>
    <row r="264" spans="1:11">
      <c r="A264" t="s">
        <v>355</v>
      </c>
      <c r="B264" s="2">
        <v>45132</v>
      </c>
      <c r="C264" t="s">
        <v>38</v>
      </c>
      <c r="D264" t="s">
        <v>39</v>
      </c>
      <c r="E264" t="s">
        <v>40</v>
      </c>
      <c r="F264" t="s">
        <v>12</v>
      </c>
      <c r="G264">
        <v>-4</v>
      </c>
      <c r="H264">
        <v>320000</v>
      </c>
      <c r="I264">
        <v>10</v>
      </c>
      <c r="J264" t="s">
        <v>41</v>
      </c>
      <c r="K264" s="14">
        <f t="shared" si="4"/>
        <v>-1152000</v>
      </c>
    </row>
    <row r="265" spans="1:11">
      <c r="A265" t="s">
        <v>356</v>
      </c>
      <c r="B265" s="2">
        <v>45234</v>
      </c>
      <c r="C265" t="s">
        <v>101</v>
      </c>
      <c r="D265" t="s">
        <v>102</v>
      </c>
      <c r="E265" t="s">
        <v>11</v>
      </c>
      <c r="F265" t="s">
        <v>12</v>
      </c>
      <c r="G265">
        <v>2</v>
      </c>
      <c r="H265">
        <v>430000</v>
      </c>
      <c r="I265">
        <v>0</v>
      </c>
      <c r="J265" t="s">
        <v>21</v>
      </c>
      <c r="K265" s="14">
        <f t="shared" si="4"/>
        <v>860000</v>
      </c>
    </row>
    <row r="266" spans="1:11">
      <c r="A266" t="s">
        <v>357</v>
      </c>
      <c r="B266" s="2">
        <v>44936</v>
      </c>
      <c r="C266" t="s">
        <v>153</v>
      </c>
      <c r="D266" t="s">
        <v>83</v>
      </c>
      <c r="E266" t="s">
        <v>84</v>
      </c>
      <c r="F266" t="s">
        <v>12</v>
      </c>
      <c r="G266">
        <v>2</v>
      </c>
      <c r="H266">
        <v>395000</v>
      </c>
      <c r="I266">
        <v>5</v>
      </c>
      <c r="J266" t="s">
        <v>21</v>
      </c>
      <c r="K266" s="14">
        <f t="shared" si="4"/>
        <v>750500</v>
      </c>
    </row>
    <row r="267" spans="1:11">
      <c r="A267" t="s">
        <v>358</v>
      </c>
      <c r="B267" s="2">
        <v>44984</v>
      </c>
      <c r="C267" t="s">
        <v>27</v>
      </c>
      <c r="D267" t="s">
        <v>28</v>
      </c>
      <c r="E267" t="s">
        <v>29</v>
      </c>
      <c r="F267" t="s">
        <v>12</v>
      </c>
      <c r="G267">
        <v>3</v>
      </c>
      <c r="H267">
        <v>210000</v>
      </c>
      <c r="I267">
        <v>0</v>
      </c>
      <c r="J267" t="s">
        <v>71</v>
      </c>
      <c r="K267" s="14">
        <f t="shared" si="4"/>
        <v>630000</v>
      </c>
    </row>
    <row r="268" spans="1:11">
      <c r="A268" t="s">
        <v>359</v>
      </c>
      <c r="B268" s="2">
        <v>45283</v>
      </c>
      <c r="C268" t="s">
        <v>147</v>
      </c>
      <c r="D268" t="s">
        <v>148</v>
      </c>
      <c r="E268" t="s">
        <v>66</v>
      </c>
      <c r="F268" t="s">
        <v>12</v>
      </c>
      <c r="G268">
        <v>1</v>
      </c>
      <c r="H268">
        <v>305000</v>
      </c>
      <c r="I268">
        <v>5</v>
      </c>
      <c r="J268" t="s">
        <v>21</v>
      </c>
      <c r="K268" s="14">
        <f t="shared" si="4"/>
        <v>289750</v>
      </c>
    </row>
    <row r="269" spans="1:11">
      <c r="A269" t="s">
        <v>360</v>
      </c>
      <c r="B269" s="2">
        <v>45007</v>
      </c>
      <c r="C269" t="s">
        <v>131</v>
      </c>
      <c r="D269" t="s">
        <v>132</v>
      </c>
      <c r="E269" t="s">
        <v>20</v>
      </c>
      <c r="F269" t="s">
        <v>12</v>
      </c>
      <c r="G269">
        <v>1</v>
      </c>
      <c r="H269">
        <v>280000</v>
      </c>
      <c r="I269">
        <v>0</v>
      </c>
      <c r="J269" t="s">
        <v>21</v>
      </c>
      <c r="K269" s="14">
        <f t="shared" si="4"/>
        <v>280000</v>
      </c>
    </row>
    <row r="270" spans="1:11">
      <c r="A270" t="s">
        <v>361</v>
      </c>
      <c r="B270" s="2">
        <v>44933</v>
      </c>
      <c r="C270" t="s">
        <v>27</v>
      </c>
      <c r="D270" t="s">
        <v>28</v>
      </c>
      <c r="E270" t="s">
        <v>29</v>
      </c>
      <c r="F270" t="s">
        <v>12</v>
      </c>
      <c r="G270">
        <v>2</v>
      </c>
      <c r="H270">
        <v>210000</v>
      </c>
      <c r="I270">
        <v>0</v>
      </c>
      <c r="J270" t="s">
        <v>16</v>
      </c>
      <c r="K270" s="14">
        <f t="shared" si="4"/>
        <v>420000</v>
      </c>
    </row>
    <row r="271" spans="1:11">
      <c r="A271" t="s">
        <v>362</v>
      </c>
      <c r="B271" s="2">
        <v>45286</v>
      </c>
      <c r="C271" t="s">
        <v>139</v>
      </c>
      <c r="D271" t="s">
        <v>61</v>
      </c>
      <c r="E271" t="s">
        <v>20</v>
      </c>
      <c r="F271" t="s">
        <v>12</v>
      </c>
      <c r="G271">
        <v>3</v>
      </c>
      <c r="H271">
        <v>260000</v>
      </c>
      <c r="I271">
        <v>0</v>
      </c>
      <c r="J271" t="s">
        <v>16</v>
      </c>
      <c r="K271" s="14">
        <f t="shared" si="4"/>
        <v>780000</v>
      </c>
    </row>
    <row r="272" spans="1:11">
      <c r="A272" t="s">
        <v>363</v>
      </c>
      <c r="B272" s="2">
        <v>45219</v>
      </c>
      <c r="C272" t="s">
        <v>101</v>
      </c>
      <c r="D272" t="s">
        <v>102</v>
      </c>
      <c r="E272" t="s">
        <v>11</v>
      </c>
      <c r="F272" t="s">
        <v>12</v>
      </c>
      <c r="G272">
        <v>1</v>
      </c>
      <c r="H272">
        <v>430000</v>
      </c>
      <c r="I272">
        <v>0</v>
      </c>
      <c r="J272" t="s">
        <v>71</v>
      </c>
      <c r="K272" s="14">
        <f t="shared" si="4"/>
        <v>430000</v>
      </c>
    </row>
    <row r="273" spans="1:11">
      <c r="A273" t="s">
        <v>364</v>
      </c>
      <c r="B273" s="2">
        <v>45218</v>
      </c>
      <c r="C273" t="s">
        <v>90</v>
      </c>
      <c r="D273" t="s">
        <v>91</v>
      </c>
      <c r="E273" t="s">
        <v>11</v>
      </c>
      <c r="F273" t="s">
        <v>12</v>
      </c>
      <c r="G273">
        <v>4</v>
      </c>
      <c r="H273">
        <v>425000</v>
      </c>
      <c r="I273">
        <v>0</v>
      </c>
      <c r="J273" t="s">
        <v>21</v>
      </c>
      <c r="K273" s="14">
        <f t="shared" si="4"/>
        <v>1700000</v>
      </c>
    </row>
    <row r="274" spans="1:11">
      <c r="A274" t="s">
        <v>365</v>
      </c>
      <c r="B274" s="2">
        <v>45112</v>
      </c>
      <c r="C274" t="s">
        <v>131</v>
      </c>
      <c r="D274" t="s">
        <v>132</v>
      </c>
      <c r="E274" t="s">
        <v>20</v>
      </c>
      <c r="F274" t="s">
        <v>12</v>
      </c>
      <c r="G274">
        <v>1</v>
      </c>
      <c r="H274">
        <v>280000</v>
      </c>
      <c r="I274">
        <v>0</v>
      </c>
      <c r="J274" t="s">
        <v>21</v>
      </c>
      <c r="K274" s="14">
        <f t="shared" si="4"/>
        <v>280000</v>
      </c>
    </row>
    <row r="275" spans="1:11">
      <c r="A275" t="s">
        <v>366</v>
      </c>
      <c r="B275" s="2">
        <v>45129</v>
      </c>
      <c r="C275" t="s">
        <v>162</v>
      </c>
      <c r="D275" t="s">
        <v>56</v>
      </c>
      <c r="E275" t="s">
        <v>57</v>
      </c>
      <c r="F275" t="s">
        <v>68</v>
      </c>
      <c r="G275">
        <v>1</v>
      </c>
      <c r="H275">
        <v>105000</v>
      </c>
      <c r="I275">
        <v>0</v>
      </c>
      <c r="J275" t="s">
        <v>71</v>
      </c>
      <c r="K275" s="14">
        <f t="shared" si="4"/>
        <v>105000</v>
      </c>
    </row>
    <row r="276" spans="1:11">
      <c r="A276" t="s">
        <v>367</v>
      </c>
      <c r="B276" s="2">
        <v>44950</v>
      </c>
      <c r="C276" t="s">
        <v>55</v>
      </c>
      <c r="D276" t="s">
        <v>56</v>
      </c>
      <c r="E276" t="s">
        <v>57</v>
      </c>
      <c r="F276" t="s">
        <v>62</v>
      </c>
      <c r="G276">
        <v>1</v>
      </c>
      <c r="H276">
        <v>105000</v>
      </c>
      <c r="I276">
        <v>15</v>
      </c>
      <c r="J276" t="s">
        <v>16</v>
      </c>
      <c r="K276" s="14">
        <f t="shared" si="4"/>
        <v>89250</v>
      </c>
    </row>
    <row r="277" spans="1:11">
      <c r="A277" t="s">
        <v>368</v>
      </c>
      <c r="B277" s="2">
        <v>44971</v>
      </c>
      <c r="C277" t="s">
        <v>49</v>
      </c>
      <c r="D277" t="s">
        <v>50</v>
      </c>
      <c r="E277" t="s">
        <v>29</v>
      </c>
      <c r="F277" t="s">
        <v>62</v>
      </c>
      <c r="G277">
        <v>3</v>
      </c>
      <c r="H277">
        <v>220000</v>
      </c>
      <c r="I277">
        <v>0</v>
      </c>
      <c r="J277" t="s">
        <v>16</v>
      </c>
      <c r="K277" s="14">
        <f t="shared" si="4"/>
        <v>660000</v>
      </c>
    </row>
    <row r="278" spans="1:11">
      <c r="A278" t="s">
        <v>369</v>
      </c>
      <c r="B278" s="2">
        <v>45043</v>
      </c>
      <c r="C278" t="s">
        <v>131</v>
      </c>
      <c r="D278" t="s">
        <v>132</v>
      </c>
      <c r="E278" t="s">
        <v>20</v>
      </c>
      <c r="F278" t="s">
        <v>12</v>
      </c>
      <c r="G278">
        <v>4</v>
      </c>
      <c r="H278">
        <v>280000</v>
      </c>
      <c r="I278">
        <v>0</v>
      </c>
      <c r="J278" t="s">
        <v>71</v>
      </c>
      <c r="K278" s="14">
        <f t="shared" si="4"/>
        <v>1120000</v>
      </c>
    </row>
    <row r="279" spans="1:11">
      <c r="A279" t="s">
        <v>370</v>
      </c>
      <c r="B279" s="2">
        <v>45001</v>
      </c>
      <c r="C279" t="s">
        <v>94</v>
      </c>
      <c r="D279" t="s">
        <v>50</v>
      </c>
      <c r="E279" t="s">
        <v>29</v>
      </c>
      <c r="F279" t="s">
        <v>68</v>
      </c>
      <c r="G279">
        <v>3</v>
      </c>
      <c r="H279">
        <v>220000</v>
      </c>
      <c r="I279">
        <v>10</v>
      </c>
      <c r="J279" t="s">
        <v>16</v>
      </c>
      <c r="K279" s="14">
        <f t="shared" si="4"/>
        <v>594000</v>
      </c>
    </row>
    <row r="280" spans="1:11">
      <c r="A280" t="s">
        <v>371</v>
      </c>
      <c r="B280" s="2">
        <v>45005</v>
      </c>
      <c r="C280" t="s">
        <v>228</v>
      </c>
      <c r="D280" t="s">
        <v>50</v>
      </c>
      <c r="E280" t="s">
        <v>29</v>
      </c>
      <c r="F280" t="s">
        <v>12</v>
      </c>
      <c r="G280">
        <v>1</v>
      </c>
      <c r="H280">
        <v>220000</v>
      </c>
      <c r="I280">
        <v>0</v>
      </c>
      <c r="J280" t="s">
        <v>21</v>
      </c>
      <c r="K280" s="14">
        <f t="shared" si="4"/>
        <v>220000</v>
      </c>
    </row>
    <row r="281" spans="1:11">
      <c r="A281" t="s">
        <v>372</v>
      </c>
      <c r="B281" s="2">
        <v>45007</v>
      </c>
      <c r="C281" t="s">
        <v>64</v>
      </c>
      <c r="D281" t="s">
        <v>65</v>
      </c>
      <c r="E281" t="s">
        <v>66</v>
      </c>
      <c r="F281" t="s">
        <v>62</v>
      </c>
      <c r="G281">
        <v>5</v>
      </c>
      <c r="H281">
        <v>295000</v>
      </c>
      <c r="I281">
        <v>5</v>
      </c>
      <c r="J281" t="s">
        <v>16</v>
      </c>
      <c r="K281" s="14">
        <f t="shared" si="4"/>
        <v>1401250</v>
      </c>
    </row>
    <row r="282" spans="1:11">
      <c r="A282" t="s">
        <v>373</v>
      </c>
      <c r="B282" s="2">
        <v>45225</v>
      </c>
      <c r="C282" t="s">
        <v>49</v>
      </c>
      <c r="D282" t="s">
        <v>50</v>
      </c>
      <c r="E282" t="s">
        <v>29</v>
      </c>
      <c r="F282" t="s">
        <v>62</v>
      </c>
      <c r="G282">
        <v>3</v>
      </c>
      <c r="H282">
        <v>220000</v>
      </c>
      <c r="I282">
        <v>0</v>
      </c>
      <c r="J282" t="s">
        <v>21</v>
      </c>
      <c r="K282" s="14">
        <f t="shared" si="4"/>
        <v>660000</v>
      </c>
    </row>
    <row r="283" spans="1:11">
      <c r="A283" t="s">
        <v>374</v>
      </c>
      <c r="B283" s="2">
        <v>45175</v>
      </c>
      <c r="C283" t="s">
        <v>228</v>
      </c>
      <c r="D283" t="s">
        <v>50</v>
      </c>
      <c r="E283" t="s">
        <v>29</v>
      </c>
      <c r="F283" t="s">
        <v>12</v>
      </c>
      <c r="G283">
        <v>2</v>
      </c>
      <c r="H283">
        <v>220000</v>
      </c>
      <c r="I283">
        <v>0</v>
      </c>
      <c r="J283" t="s">
        <v>21</v>
      </c>
      <c r="K283" s="14">
        <f t="shared" si="4"/>
        <v>440000</v>
      </c>
    </row>
    <row r="284" spans="1:11">
      <c r="A284" t="s">
        <v>375</v>
      </c>
      <c r="B284" s="2">
        <v>45180</v>
      </c>
      <c r="C284" t="s">
        <v>94</v>
      </c>
      <c r="D284" t="s">
        <v>50</v>
      </c>
      <c r="E284" t="s">
        <v>29</v>
      </c>
      <c r="F284" t="s">
        <v>68</v>
      </c>
      <c r="G284">
        <v>2</v>
      </c>
      <c r="H284">
        <v>220000</v>
      </c>
      <c r="I284">
        <v>0</v>
      </c>
      <c r="J284" t="s">
        <v>16</v>
      </c>
      <c r="K284" s="14">
        <f t="shared" si="4"/>
        <v>440000</v>
      </c>
    </row>
    <row r="285" spans="1:11">
      <c r="A285" t="s">
        <v>376</v>
      </c>
      <c r="B285" s="2">
        <v>45268</v>
      </c>
      <c r="C285" t="s">
        <v>242</v>
      </c>
      <c r="D285" t="s">
        <v>97</v>
      </c>
      <c r="E285" t="s">
        <v>98</v>
      </c>
      <c r="F285" t="s">
        <v>62</v>
      </c>
      <c r="G285">
        <v>2</v>
      </c>
      <c r="H285">
        <v>170000</v>
      </c>
      <c r="I285">
        <v>0</v>
      </c>
      <c r="J285" t="s">
        <v>16</v>
      </c>
      <c r="K285" s="14">
        <f t="shared" si="4"/>
        <v>340000</v>
      </c>
    </row>
    <row r="286" spans="1:11">
      <c r="A286" t="s">
        <v>377</v>
      </c>
      <c r="B286" s="2">
        <v>44970</v>
      </c>
      <c r="C286" t="s">
        <v>15</v>
      </c>
      <c r="D286" t="s">
        <v>10</v>
      </c>
      <c r="E286" t="s">
        <v>11</v>
      </c>
      <c r="F286" t="s">
        <v>68</v>
      </c>
      <c r="G286">
        <v>1</v>
      </c>
      <c r="H286">
        <v>420000</v>
      </c>
      <c r="I286">
        <v>0</v>
      </c>
      <c r="J286" t="s">
        <v>71</v>
      </c>
      <c r="K286" s="14">
        <f t="shared" si="4"/>
        <v>420000</v>
      </c>
    </row>
    <row r="287" spans="1:11">
      <c r="A287" t="s">
        <v>378</v>
      </c>
      <c r="B287" s="2">
        <v>45278</v>
      </c>
      <c r="C287" t="s">
        <v>147</v>
      </c>
      <c r="D287" t="s">
        <v>148</v>
      </c>
      <c r="E287" t="s">
        <v>66</v>
      </c>
      <c r="F287" t="s">
        <v>12</v>
      </c>
      <c r="G287">
        <v>1</v>
      </c>
      <c r="H287">
        <v>305000</v>
      </c>
      <c r="I287">
        <v>0</v>
      </c>
      <c r="J287" t="s">
        <v>16</v>
      </c>
      <c r="K287" s="14">
        <f t="shared" si="4"/>
        <v>305000</v>
      </c>
    </row>
    <row r="288" spans="1:11">
      <c r="A288" t="s">
        <v>379</v>
      </c>
      <c r="B288" s="2">
        <v>45147</v>
      </c>
      <c r="C288" t="s">
        <v>104</v>
      </c>
      <c r="D288" t="s">
        <v>105</v>
      </c>
      <c r="E288" t="s">
        <v>29</v>
      </c>
      <c r="F288" t="s">
        <v>12</v>
      </c>
      <c r="G288">
        <v>1</v>
      </c>
      <c r="H288">
        <v>210000</v>
      </c>
      <c r="I288">
        <v>0</v>
      </c>
      <c r="J288" t="s">
        <v>16</v>
      </c>
      <c r="K288" s="14">
        <f t="shared" si="4"/>
        <v>210000</v>
      </c>
    </row>
    <row r="289" spans="1:11">
      <c r="A289" t="s">
        <v>380</v>
      </c>
      <c r="B289" s="2">
        <v>45247</v>
      </c>
      <c r="C289" t="s">
        <v>119</v>
      </c>
      <c r="D289" t="s">
        <v>120</v>
      </c>
      <c r="E289" t="s">
        <v>11</v>
      </c>
      <c r="F289" t="s">
        <v>68</v>
      </c>
      <c r="G289">
        <v>1</v>
      </c>
      <c r="H289">
        <v>440000</v>
      </c>
      <c r="I289">
        <v>10</v>
      </c>
      <c r="J289" t="s">
        <v>1268</v>
      </c>
      <c r="K289" s="14">
        <f t="shared" si="4"/>
        <v>396000</v>
      </c>
    </row>
    <row r="290" spans="1:11">
      <c r="A290" t="s">
        <v>381</v>
      </c>
      <c r="B290" s="2">
        <v>45100</v>
      </c>
      <c r="C290" t="s">
        <v>242</v>
      </c>
      <c r="D290" t="s">
        <v>97</v>
      </c>
      <c r="E290" t="s">
        <v>98</v>
      </c>
      <c r="F290" t="s">
        <v>62</v>
      </c>
      <c r="G290">
        <v>1</v>
      </c>
      <c r="H290">
        <v>170000</v>
      </c>
      <c r="I290">
        <v>0</v>
      </c>
      <c r="J290" t="s">
        <v>16</v>
      </c>
      <c r="K290" s="14">
        <f t="shared" si="4"/>
        <v>170000</v>
      </c>
    </row>
    <row r="291" spans="1:11">
      <c r="A291" t="s">
        <v>382</v>
      </c>
      <c r="B291" s="2">
        <v>45121</v>
      </c>
      <c r="C291" t="s">
        <v>52</v>
      </c>
      <c r="D291" t="s">
        <v>53</v>
      </c>
      <c r="E291" t="s">
        <v>1293</v>
      </c>
      <c r="F291" t="s">
        <v>12</v>
      </c>
      <c r="G291">
        <v>1</v>
      </c>
      <c r="H291">
        <v>195000</v>
      </c>
      <c r="I291">
        <v>10</v>
      </c>
      <c r="J291" t="s">
        <v>71</v>
      </c>
      <c r="K291" s="14">
        <f t="shared" si="4"/>
        <v>175500</v>
      </c>
    </row>
    <row r="292" spans="1:11">
      <c r="A292" t="s">
        <v>383</v>
      </c>
      <c r="B292" s="2">
        <v>45047</v>
      </c>
      <c r="C292" t="s">
        <v>34</v>
      </c>
      <c r="D292" t="s">
        <v>35</v>
      </c>
      <c r="E292" t="s">
        <v>36</v>
      </c>
      <c r="F292" t="s">
        <v>12</v>
      </c>
      <c r="G292">
        <v>1</v>
      </c>
      <c r="H292">
        <v>198000</v>
      </c>
      <c r="I292">
        <v>5</v>
      </c>
      <c r="J292" t="s">
        <v>1268</v>
      </c>
      <c r="K292" s="14">
        <f t="shared" si="4"/>
        <v>188100</v>
      </c>
    </row>
    <row r="293" spans="1:11">
      <c r="A293" t="s">
        <v>384</v>
      </c>
      <c r="B293" s="2">
        <v>45160</v>
      </c>
      <c r="C293" t="s">
        <v>101</v>
      </c>
      <c r="D293" t="s">
        <v>102</v>
      </c>
      <c r="E293" t="s">
        <v>11</v>
      </c>
      <c r="F293" t="s">
        <v>12</v>
      </c>
      <c r="G293">
        <v>1</v>
      </c>
      <c r="H293">
        <v>430000</v>
      </c>
      <c r="I293">
        <v>10</v>
      </c>
      <c r="J293" t="s">
        <v>71</v>
      </c>
      <c r="K293" s="14">
        <f t="shared" si="4"/>
        <v>387000</v>
      </c>
    </row>
    <row r="294" spans="1:11">
      <c r="A294" t="s">
        <v>385</v>
      </c>
      <c r="B294" s="2">
        <v>45204</v>
      </c>
      <c r="C294" t="s">
        <v>23</v>
      </c>
      <c r="D294" t="s">
        <v>24</v>
      </c>
      <c r="E294" t="s">
        <v>25</v>
      </c>
      <c r="F294" t="s">
        <v>12</v>
      </c>
      <c r="G294">
        <v>2</v>
      </c>
      <c r="H294">
        <v>182000</v>
      </c>
      <c r="I294">
        <v>0</v>
      </c>
      <c r="J294" t="s">
        <v>21</v>
      </c>
      <c r="K294" s="14">
        <f t="shared" si="4"/>
        <v>364000</v>
      </c>
    </row>
    <row r="295" spans="1:11">
      <c r="A295" t="s">
        <v>386</v>
      </c>
      <c r="B295" s="2">
        <v>45042</v>
      </c>
      <c r="C295" t="s">
        <v>88</v>
      </c>
      <c r="D295" t="s">
        <v>10</v>
      </c>
      <c r="E295" t="s">
        <v>11</v>
      </c>
      <c r="F295" t="s">
        <v>62</v>
      </c>
      <c r="G295">
        <v>1</v>
      </c>
      <c r="H295">
        <v>420000</v>
      </c>
      <c r="I295">
        <v>15</v>
      </c>
      <c r="J295" t="s">
        <v>16</v>
      </c>
      <c r="K295" s="14">
        <f t="shared" si="4"/>
        <v>357000</v>
      </c>
    </row>
    <row r="296" spans="1:11">
      <c r="A296" t="s">
        <v>387</v>
      </c>
      <c r="B296" s="2">
        <v>45007</v>
      </c>
      <c r="C296" t="s">
        <v>139</v>
      </c>
      <c r="D296" t="s">
        <v>61</v>
      </c>
      <c r="E296" t="s">
        <v>20</v>
      </c>
      <c r="F296" t="s">
        <v>12</v>
      </c>
      <c r="G296">
        <v>1</v>
      </c>
      <c r="H296">
        <v>260000</v>
      </c>
      <c r="I296">
        <v>0</v>
      </c>
      <c r="J296" t="s">
        <v>16</v>
      </c>
      <c r="K296" s="14">
        <f t="shared" si="4"/>
        <v>260000</v>
      </c>
    </row>
    <row r="297" spans="1:11">
      <c r="A297" t="s">
        <v>388</v>
      </c>
      <c r="B297" s="2">
        <v>45122</v>
      </c>
      <c r="C297" t="s">
        <v>133</v>
      </c>
      <c r="D297" t="s">
        <v>102</v>
      </c>
      <c r="E297" t="s">
        <v>11</v>
      </c>
      <c r="F297" t="s">
        <v>62</v>
      </c>
      <c r="G297">
        <v>1</v>
      </c>
      <c r="H297">
        <v>430000</v>
      </c>
      <c r="I297">
        <v>0</v>
      </c>
      <c r="J297" t="s">
        <v>21</v>
      </c>
      <c r="K297" s="14">
        <f t="shared" si="4"/>
        <v>430000</v>
      </c>
    </row>
    <row r="298" spans="1:11">
      <c r="A298" t="s">
        <v>389</v>
      </c>
      <c r="B298" s="2">
        <v>45261</v>
      </c>
      <c r="C298" t="s">
        <v>46</v>
      </c>
      <c r="D298" t="s">
        <v>44</v>
      </c>
      <c r="E298" t="s">
        <v>1290</v>
      </c>
      <c r="F298" t="s">
        <v>12</v>
      </c>
      <c r="G298">
        <v>1</v>
      </c>
      <c r="H298">
        <v>235000</v>
      </c>
      <c r="I298">
        <v>15</v>
      </c>
      <c r="J298" t="s">
        <v>71</v>
      </c>
      <c r="K298" s="14">
        <f t="shared" si="4"/>
        <v>199750</v>
      </c>
    </row>
    <row r="299" spans="1:11">
      <c r="A299" t="s">
        <v>390</v>
      </c>
      <c r="B299" s="2">
        <v>44991</v>
      </c>
      <c r="C299" t="s">
        <v>144</v>
      </c>
      <c r="D299" t="s">
        <v>142</v>
      </c>
      <c r="E299" t="s">
        <v>66</v>
      </c>
      <c r="F299" t="s">
        <v>12</v>
      </c>
      <c r="G299">
        <v>5</v>
      </c>
      <c r="H299">
        <v>330000</v>
      </c>
      <c r="I299">
        <v>5</v>
      </c>
      <c r="J299" t="s">
        <v>21</v>
      </c>
      <c r="K299" s="14">
        <f t="shared" si="4"/>
        <v>1567500</v>
      </c>
    </row>
    <row r="300" spans="1:11">
      <c r="A300" t="s">
        <v>391</v>
      </c>
      <c r="B300" s="2">
        <v>45125</v>
      </c>
      <c r="C300" t="s">
        <v>31</v>
      </c>
      <c r="D300" t="s">
        <v>32</v>
      </c>
      <c r="E300" t="s">
        <v>29</v>
      </c>
      <c r="F300" t="s">
        <v>68</v>
      </c>
      <c r="G300">
        <v>2</v>
      </c>
      <c r="H300">
        <v>215000</v>
      </c>
      <c r="I300">
        <v>0</v>
      </c>
      <c r="J300" t="s">
        <v>16</v>
      </c>
      <c r="K300" s="14">
        <f t="shared" si="4"/>
        <v>430000</v>
      </c>
    </row>
    <row r="301" spans="1:11">
      <c r="A301" t="s">
        <v>392</v>
      </c>
      <c r="B301" s="2">
        <v>45175</v>
      </c>
      <c r="C301" t="s">
        <v>96</v>
      </c>
      <c r="D301" t="s">
        <v>97</v>
      </c>
      <c r="E301" t="s">
        <v>98</v>
      </c>
      <c r="F301" t="s">
        <v>1268</v>
      </c>
      <c r="G301">
        <v>4</v>
      </c>
      <c r="H301">
        <v>170000</v>
      </c>
      <c r="I301">
        <v>0</v>
      </c>
      <c r="J301" t="s">
        <v>1268</v>
      </c>
      <c r="K301" s="14">
        <f t="shared" si="4"/>
        <v>680000</v>
      </c>
    </row>
    <row r="302" spans="1:11">
      <c r="A302" t="s">
        <v>393</v>
      </c>
      <c r="B302" s="2">
        <v>45076</v>
      </c>
      <c r="C302" t="s">
        <v>96</v>
      </c>
      <c r="D302" t="s">
        <v>97</v>
      </c>
      <c r="E302" t="s">
        <v>98</v>
      </c>
      <c r="F302" t="s">
        <v>12</v>
      </c>
      <c r="G302">
        <v>2</v>
      </c>
      <c r="H302">
        <v>170000</v>
      </c>
      <c r="I302">
        <v>0</v>
      </c>
      <c r="J302" t="s">
        <v>41</v>
      </c>
      <c r="K302" s="14">
        <f t="shared" si="4"/>
        <v>340000</v>
      </c>
    </row>
    <row r="303" spans="1:11">
      <c r="A303" t="s">
        <v>188</v>
      </c>
      <c r="B303" s="2">
        <v>45244</v>
      </c>
      <c r="C303" t="s">
        <v>101</v>
      </c>
      <c r="D303" t="s">
        <v>102</v>
      </c>
      <c r="E303" t="s">
        <v>11</v>
      </c>
      <c r="F303" t="s">
        <v>12</v>
      </c>
      <c r="G303">
        <v>3</v>
      </c>
      <c r="H303">
        <v>430000</v>
      </c>
      <c r="I303">
        <v>10</v>
      </c>
      <c r="J303" t="s">
        <v>16</v>
      </c>
      <c r="K303" s="14">
        <f t="shared" si="4"/>
        <v>1161000</v>
      </c>
    </row>
    <row r="304" spans="1:11">
      <c r="A304" t="s">
        <v>394</v>
      </c>
      <c r="B304" s="2">
        <v>45210</v>
      </c>
      <c r="C304" t="s">
        <v>108</v>
      </c>
      <c r="D304" t="s">
        <v>56</v>
      </c>
      <c r="E304" t="s">
        <v>57</v>
      </c>
      <c r="F304" t="s">
        <v>12</v>
      </c>
      <c r="G304">
        <v>1</v>
      </c>
      <c r="H304">
        <v>105000</v>
      </c>
      <c r="I304">
        <v>5</v>
      </c>
      <c r="J304" t="s">
        <v>16</v>
      </c>
      <c r="K304" s="14">
        <f t="shared" si="4"/>
        <v>99750</v>
      </c>
    </row>
    <row r="305" spans="1:11">
      <c r="A305" t="s">
        <v>395</v>
      </c>
      <c r="B305" s="2">
        <v>45244</v>
      </c>
      <c r="C305" t="s">
        <v>82</v>
      </c>
      <c r="D305" t="s">
        <v>83</v>
      </c>
      <c r="E305" t="s">
        <v>84</v>
      </c>
      <c r="F305" t="s">
        <v>68</v>
      </c>
      <c r="G305">
        <v>1</v>
      </c>
      <c r="H305">
        <v>395000</v>
      </c>
      <c r="I305">
        <v>0</v>
      </c>
      <c r="J305" t="s">
        <v>16</v>
      </c>
      <c r="K305" s="14">
        <f t="shared" si="4"/>
        <v>395000</v>
      </c>
    </row>
    <row r="306" spans="1:11">
      <c r="A306" t="s">
        <v>396</v>
      </c>
      <c r="B306" s="2">
        <v>44955</v>
      </c>
      <c r="C306" t="s">
        <v>119</v>
      </c>
      <c r="D306" t="s">
        <v>120</v>
      </c>
      <c r="E306" t="s">
        <v>11</v>
      </c>
      <c r="F306" t="s">
        <v>68</v>
      </c>
      <c r="G306">
        <v>1</v>
      </c>
      <c r="H306">
        <v>440000</v>
      </c>
      <c r="I306">
        <v>5</v>
      </c>
      <c r="J306" t="s">
        <v>16</v>
      </c>
      <c r="K306" s="14">
        <f t="shared" si="4"/>
        <v>418000</v>
      </c>
    </row>
    <row r="307" spans="1:11">
      <c r="A307" t="s">
        <v>397</v>
      </c>
      <c r="B307" s="2">
        <v>45283</v>
      </c>
      <c r="C307" t="s">
        <v>153</v>
      </c>
      <c r="D307" t="s">
        <v>83</v>
      </c>
      <c r="E307" t="s">
        <v>84</v>
      </c>
      <c r="F307" t="s">
        <v>12</v>
      </c>
      <c r="G307">
        <v>2</v>
      </c>
      <c r="H307">
        <v>395000</v>
      </c>
      <c r="I307">
        <v>0</v>
      </c>
      <c r="J307" t="s">
        <v>21</v>
      </c>
      <c r="K307" s="14">
        <f t="shared" si="4"/>
        <v>790000</v>
      </c>
    </row>
    <row r="308" spans="1:11">
      <c r="A308" t="s">
        <v>398</v>
      </c>
      <c r="B308" s="2">
        <v>44933</v>
      </c>
      <c r="C308" t="s">
        <v>228</v>
      </c>
      <c r="D308" t="s">
        <v>50</v>
      </c>
      <c r="E308" t="s">
        <v>29</v>
      </c>
      <c r="F308" t="s">
        <v>12</v>
      </c>
      <c r="G308">
        <v>1</v>
      </c>
      <c r="H308">
        <v>220000</v>
      </c>
      <c r="I308">
        <v>0</v>
      </c>
      <c r="J308" t="s">
        <v>16</v>
      </c>
      <c r="K308" s="14">
        <f t="shared" si="4"/>
        <v>220000</v>
      </c>
    </row>
    <row r="309" spans="1:11">
      <c r="A309" t="s">
        <v>399</v>
      </c>
      <c r="B309" s="2">
        <v>45035</v>
      </c>
      <c r="C309" t="s">
        <v>94</v>
      </c>
      <c r="D309" t="s">
        <v>50</v>
      </c>
      <c r="E309" t="s">
        <v>29</v>
      </c>
      <c r="F309" t="s">
        <v>68</v>
      </c>
      <c r="G309">
        <v>2</v>
      </c>
      <c r="H309">
        <v>220000</v>
      </c>
      <c r="I309">
        <v>0</v>
      </c>
      <c r="J309" t="s">
        <v>13</v>
      </c>
      <c r="K309" s="14">
        <f t="shared" si="4"/>
        <v>440000</v>
      </c>
    </row>
    <row r="310" spans="1:11">
      <c r="A310" t="s">
        <v>400</v>
      </c>
      <c r="B310" s="2">
        <v>44933</v>
      </c>
      <c r="C310" t="s">
        <v>46</v>
      </c>
      <c r="D310" t="s">
        <v>44</v>
      </c>
      <c r="E310" t="s">
        <v>1290</v>
      </c>
      <c r="F310" t="s">
        <v>12</v>
      </c>
      <c r="G310">
        <v>2</v>
      </c>
      <c r="H310">
        <v>235000</v>
      </c>
      <c r="I310">
        <v>0</v>
      </c>
      <c r="J310" t="s">
        <v>16</v>
      </c>
      <c r="K310" s="14">
        <f t="shared" si="4"/>
        <v>470000</v>
      </c>
    </row>
    <row r="311" spans="1:11">
      <c r="A311" t="s">
        <v>401</v>
      </c>
      <c r="B311" s="2">
        <v>45129</v>
      </c>
      <c r="C311" t="s">
        <v>38</v>
      </c>
      <c r="D311" t="s">
        <v>39</v>
      </c>
      <c r="E311" t="s">
        <v>40</v>
      </c>
      <c r="F311" t="s">
        <v>12</v>
      </c>
      <c r="G311">
        <v>1</v>
      </c>
      <c r="H311">
        <v>320000</v>
      </c>
      <c r="I311">
        <v>15</v>
      </c>
      <c r="J311" t="s">
        <v>16</v>
      </c>
      <c r="K311" s="14">
        <f t="shared" si="4"/>
        <v>272000</v>
      </c>
    </row>
    <row r="312" spans="1:11">
      <c r="A312" t="s">
        <v>402</v>
      </c>
      <c r="B312" s="2">
        <v>45210</v>
      </c>
      <c r="C312" t="s">
        <v>31</v>
      </c>
      <c r="D312" t="s">
        <v>32</v>
      </c>
      <c r="E312" t="s">
        <v>29</v>
      </c>
      <c r="F312" t="s">
        <v>68</v>
      </c>
      <c r="G312">
        <v>1</v>
      </c>
      <c r="H312">
        <v>215000</v>
      </c>
      <c r="I312">
        <v>5</v>
      </c>
      <c r="J312" t="s">
        <v>16</v>
      </c>
      <c r="K312" s="14">
        <f t="shared" si="4"/>
        <v>204250</v>
      </c>
    </row>
    <row r="313" spans="1:11">
      <c r="A313" t="s">
        <v>403</v>
      </c>
      <c r="B313" s="2">
        <v>45263</v>
      </c>
      <c r="C313" t="s">
        <v>38</v>
      </c>
      <c r="D313" t="s">
        <v>39</v>
      </c>
      <c r="E313" t="s">
        <v>40</v>
      </c>
      <c r="F313" t="s">
        <v>12</v>
      </c>
      <c r="G313">
        <v>1</v>
      </c>
      <c r="H313">
        <v>320000</v>
      </c>
      <c r="I313">
        <v>0</v>
      </c>
      <c r="J313" t="s">
        <v>16</v>
      </c>
      <c r="K313" s="14">
        <f t="shared" ref="K313:K374" si="5">G313*H313*(1-I313/100)</f>
        <v>320000</v>
      </c>
    </row>
    <row r="314" spans="1:11">
      <c r="A314" t="s">
        <v>404</v>
      </c>
      <c r="B314" s="2">
        <v>45141</v>
      </c>
      <c r="C314" t="s">
        <v>15</v>
      </c>
      <c r="D314" t="s">
        <v>10</v>
      </c>
      <c r="E314" t="s">
        <v>11</v>
      </c>
      <c r="F314" t="s">
        <v>68</v>
      </c>
      <c r="G314">
        <v>1</v>
      </c>
      <c r="H314">
        <v>420000</v>
      </c>
      <c r="I314">
        <v>10</v>
      </c>
      <c r="J314" t="s">
        <v>21</v>
      </c>
      <c r="K314" s="14">
        <f t="shared" si="5"/>
        <v>378000</v>
      </c>
    </row>
    <row r="315" spans="1:11">
      <c r="A315" t="s">
        <v>405</v>
      </c>
      <c r="B315" s="2">
        <v>44985</v>
      </c>
      <c r="C315" t="s">
        <v>88</v>
      </c>
      <c r="D315" t="s">
        <v>10</v>
      </c>
      <c r="E315" t="s">
        <v>11</v>
      </c>
      <c r="F315" t="s">
        <v>62</v>
      </c>
      <c r="G315">
        <v>2</v>
      </c>
      <c r="H315">
        <v>420000</v>
      </c>
      <c r="I315">
        <v>20</v>
      </c>
      <c r="J315" t="s">
        <v>16</v>
      </c>
      <c r="K315" s="14">
        <f t="shared" si="5"/>
        <v>672000</v>
      </c>
    </row>
    <row r="316" spans="1:11">
      <c r="A316" t="s">
        <v>406</v>
      </c>
      <c r="B316" s="2">
        <v>45098</v>
      </c>
      <c r="C316" t="s">
        <v>162</v>
      </c>
      <c r="D316" t="s">
        <v>56</v>
      </c>
      <c r="E316" t="s">
        <v>57</v>
      </c>
      <c r="F316" t="s">
        <v>68</v>
      </c>
      <c r="G316">
        <v>1</v>
      </c>
      <c r="H316">
        <v>105000</v>
      </c>
      <c r="I316">
        <v>5</v>
      </c>
      <c r="J316" t="s">
        <v>21</v>
      </c>
      <c r="K316" s="14">
        <f t="shared" si="5"/>
        <v>99750</v>
      </c>
    </row>
    <row r="317" spans="1:11">
      <c r="A317" t="s">
        <v>407</v>
      </c>
      <c r="B317" s="2">
        <v>45210</v>
      </c>
      <c r="C317" t="s">
        <v>153</v>
      </c>
      <c r="D317" t="s">
        <v>83</v>
      </c>
      <c r="E317" t="s">
        <v>84</v>
      </c>
      <c r="F317" t="s">
        <v>12</v>
      </c>
      <c r="G317">
        <v>4</v>
      </c>
      <c r="H317">
        <v>395000</v>
      </c>
      <c r="I317">
        <v>0</v>
      </c>
      <c r="J317" t="s">
        <v>13</v>
      </c>
      <c r="K317" s="14">
        <f t="shared" si="5"/>
        <v>1580000</v>
      </c>
    </row>
    <row r="318" spans="1:11">
      <c r="A318" t="s">
        <v>408</v>
      </c>
      <c r="B318" s="2">
        <v>45212</v>
      </c>
      <c r="C318" t="s">
        <v>23</v>
      </c>
      <c r="D318" t="s">
        <v>24</v>
      </c>
      <c r="E318" t="s">
        <v>25</v>
      </c>
      <c r="F318" t="s">
        <v>12</v>
      </c>
      <c r="G318">
        <v>1</v>
      </c>
      <c r="H318">
        <v>182000</v>
      </c>
      <c r="I318">
        <v>0</v>
      </c>
      <c r="J318" t="s">
        <v>16</v>
      </c>
      <c r="K318" s="14">
        <f t="shared" si="5"/>
        <v>182000</v>
      </c>
    </row>
    <row r="319" spans="1:11">
      <c r="A319" t="s">
        <v>409</v>
      </c>
      <c r="B319" s="2">
        <v>45155</v>
      </c>
      <c r="C319" t="s">
        <v>228</v>
      </c>
      <c r="D319" t="s">
        <v>50</v>
      </c>
      <c r="E319" t="s">
        <v>29</v>
      </c>
      <c r="F319" t="s">
        <v>12</v>
      </c>
      <c r="G319">
        <v>1</v>
      </c>
      <c r="H319">
        <v>220000</v>
      </c>
      <c r="I319">
        <v>0</v>
      </c>
      <c r="J319" t="s">
        <v>16</v>
      </c>
      <c r="K319" s="14">
        <f t="shared" si="5"/>
        <v>220000</v>
      </c>
    </row>
    <row r="320" spans="1:11">
      <c r="A320" t="s">
        <v>410</v>
      </c>
      <c r="B320" s="2">
        <v>45038</v>
      </c>
      <c r="C320" t="s">
        <v>46</v>
      </c>
      <c r="D320" t="s">
        <v>44</v>
      </c>
      <c r="E320" t="s">
        <v>1290</v>
      </c>
      <c r="F320" t="s">
        <v>12</v>
      </c>
      <c r="G320">
        <v>2</v>
      </c>
      <c r="H320">
        <v>235000</v>
      </c>
      <c r="I320">
        <v>10</v>
      </c>
      <c r="J320" t="s">
        <v>21</v>
      </c>
      <c r="K320" s="14">
        <f t="shared" si="5"/>
        <v>423000</v>
      </c>
    </row>
    <row r="321" spans="1:11">
      <c r="A321" t="s">
        <v>411</v>
      </c>
      <c r="B321" s="2">
        <v>45253</v>
      </c>
      <c r="C321" t="s">
        <v>31</v>
      </c>
      <c r="D321" t="s">
        <v>32</v>
      </c>
      <c r="E321" t="s">
        <v>29</v>
      </c>
      <c r="F321" t="s">
        <v>68</v>
      </c>
      <c r="G321">
        <v>1</v>
      </c>
      <c r="H321">
        <v>215000</v>
      </c>
      <c r="I321">
        <v>10</v>
      </c>
      <c r="J321" t="s">
        <v>21</v>
      </c>
      <c r="K321" s="14">
        <f t="shared" si="5"/>
        <v>193500</v>
      </c>
    </row>
    <row r="322" spans="1:11">
      <c r="A322" t="s">
        <v>412</v>
      </c>
      <c r="B322" s="2">
        <v>45275</v>
      </c>
      <c r="C322" t="s">
        <v>162</v>
      </c>
      <c r="D322" t="s">
        <v>56</v>
      </c>
      <c r="E322" t="s">
        <v>57</v>
      </c>
      <c r="F322" t="s">
        <v>68</v>
      </c>
      <c r="G322">
        <v>3</v>
      </c>
      <c r="H322">
        <v>105000</v>
      </c>
      <c r="I322">
        <v>5</v>
      </c>
      <c r="J322" t="s">
        <v>41</v>
      </c>
      <c r="K322" s="14">
        <f t="shared" si="5"/>
        <v>299250</v>
      </c>
    </row>
    <row r="323" spans="1:11">
      <c r="A323" t="s">
        <v>413</v>
      </c>
      <c r="B323" s="2">
        <v>44975</v>
      </c>
      <c r="C323" t="s">
        <v>228</v>
      </c>
      <c r="D323" t="s">
        <v>50</v>
      </c>
      <c r="E323" t="s">
        <v>29</v>
      </c>
      <c r="F323" t="s">
        <v>12</v>
      </c>
      <c r="G323">
        <v>1</v>
      </c>
      <c r="H323">
        <v>220000</v>
      </c>
      <c r="I323">
        <v>0</v>
      </c>
      <c r="J323" t="s">
        <v>16</v>
      </c>
      <c r="K323" s="14">
        <f t="shared" si="5"/>
        <v>220000</v>
      </c>
    </row>
    <row r="324" spans="1:11">
      <c r="A324" t="s">
        <v>414</v>
      </c>
      <c r="B324" s="2">
        <v>45102</v>
      </c>
      <c r="C324" t="s">
        <v>162</v>
      </c>
      <c r="D324" t="s">
        <v>56</v>
      </c>
      <c r="E324" t="s">
        <v>57</v>
      </c>
      <c r="F324" t="s">
        <v>68</v>
      </c>
      <c r="G324">
        <v>5</v>
      </c>
      <c r="H324">
        <v>105000</v>
      </c>
      <c r="I324">
        <v>0</v>
      </c>
      <c r="J324" t="s">
        <v>41</v>
      </c>
      <c r="K324" s="14">
        <f t="shared" si="5"/>
        <v>525000</v>
      </c>
    </row>
    <row r="325" spans="1:11">
      <c r="A325" t="s">
        <v>415</v>
      </c>
      <c r="B325" s="2">
        <v>45289</v>
      </c>
      <c r="C325" t="s">
        <v>27</v>
      </c>
      <c r="D325" t="s">
        <v>28</v>
      </c>
      <c r="E325" t="s">
        <v>29</v>
      </c>
      <c r="F325" t="s">
        <v>12</v>
      </c>
      <c r="G325">
        <v>1</v>
      </c>
      <c r="H325">
        <v>210000</v>
      </c>
      <c r="I325">
        <v>0</v>
      </c>
      <c r="J325" t="s">
        <v>16</v>
      </c>
      <c r="K325" s="14">
        <f t="shared" si="5"/>
        <v>210000</v>
      </c>
    </row>
    <row r="326" spans="1:11">
      <c r="A326" t="s">
        <v>416</v>
      </c>
      <c r="B326" s="2">
        <v>45064</v>
      </c>
      <c r="C326" t="s">
        <v>242</v>
      </c>
      <c r="D326" t="s">
        <v>97</v>
      </c>
      <c r="E326" t="s">
        <v>98</v>
      </c>
      <c r="F326" t="s">
        <v>62</v>
      </c>
      <c r="G326">
        <v>2</v>
      </c>
      <c r="H326">
        <v>170000</v>
      </c>
      <c r="I326">
        <v>5</v>
      </c>
      <c r="J326" t="s">
        <v>41</v>
      </c>
      <c r="K326" s="14">
        <f t="shared" si="5"/>
        <v>323000</v>
      </c>
    </row>
    <row r="327" spans="1:11">
      <c r="A327" t="s">
        <v>417</v>
      </c>
      <c r="B327" s="2">
        <v>45037</v>
      </c>
      <c r="C327" t="s">
        <v>55</v>
      </c>
      <c r="D327" t="s">
        <v>56</v>
      </c>
      <c r="E327" t="s">
        <v>57</v>
      </c>
      <c r="F327" t="s">
        <v>1268</v>
      </c>
      <c r="G327">
        <v>1</v>
      </c>
      <c r="H327">
        <v>105000</v>
      </c>
      <c r="I327">
        <v>0</v>
      </c>
      <c r="J327" t="s">
        <v>16</v>
      </c>
      <c r="K327" s="14">
        <f t="shared" si="5"/>
        <v>105000</v>
      </c>
    </row>
    <row r="328" spans="1:11">
      <c r="A328" t="s">
        <v>418</v>
      </c>
      <c r="B328" s="2">
        <v>45289</v>
      </c>
      <c r="C328" t="s">
        <v>18</v>
      </c>
      <c r="D328" t="s">
        <v>19</v>
      </c>
      <c r="E328" t="s">
        <v>20</v>
      </c>
      <c r="F328" t="s">
        <v>12</v>
      </c>
      <c r="G328">
        <v>2</v>
      </c>
      <c r="H328">
        <v>265000</v>
      </c>
      <c r="I328">
        <v>0</v>
      </c>
      <c r="J328" t="s">
        <v>16</v>
      </c>
      <c r="K328" s="14">
        <f t="shared" si="5"/>
        <v>530000</v>
      </c>
    </row>
    <row r="329" spans="1:11">
      <c r="A329" t="s">
        <v>419</v>
      </c>
      <c r="B329" s="2">
        <v>44963</v>
      </c>
      <c r="C329" t="s">
        <v>153</v>
      </c>
      <c r="D329" t="s">
        <v>83</v>
      </c>
      <c r="E329" t="s">
        <v>84</v>
      </c>
      <c r="F329" t="s">
        <v>12</v>
      </c>
      <c r="G329">
        <v>1</v>
      </c>
      <c r="H329">
        <v>395000</v>
      </c>
      <c r="I329">
        <v>5</v>
      </c>
      <c r="J329" t="s">
        <v>21</v>
      </c>
      <c r="K329" s="14">
        <f t="shared" si="5"/>
        <v>375250</v>
      </c>
    </row>
    <row r="330" spans="1:11">
      <c r="A330" t="s">
        <v>420</v>
      </c>
      <c r="B330" s="2">
        <v>45274</v>
      </c>
      <c r="C330" t="s">
        <v>38</v>
      </c>
      <c r="D330" t="s">
        <v>39</v>
      </c>
      <c r="E330" t="s">
        <v>40</v>
      </c>
      <c r="F330" t="s">
        <v>12</v>
      </c>
      <c r="G330">
        <v>1</v>
      </c>
      <c r="H330">
        <v>320000</v>
      </c>
      <c r="I330">
        <v>10</v>
      </c>
      <c r="J330" t="s">
        <v>1268</v>
      </c>
      <c r="K330" s="14">
        <f t="shared" si="5"/>
        <v>288000</v>
      </c>
    </row>
    <row r="331" spans="1:11">
      <c r="A331" t="s">
        <v>421</v>
      </c>
      <c r="B331" s="2">
        <v>45025</v>
      </c>
      <c r="C331" t="s">
        <v>70</v>
      </c>
      <c r="D331" t="s">
        <v>65</v>
      </c>
      <c r="E331" t="s">
        <v>66</v>
      </c>
      <c r="F331" t="s">
        <v>12</v>
      </c>
      <c r="G331">
        <v>1</v>
      </c>
      <c r="H331">
        <v>295000</v>
      </c>
      <c r="I331">
        <v>0</v>
      </c>
      <c r="J331" t="s">
        <v>16</v>
      </c>
      <c r="K331" s="14">
        <f t="shared" si="5"/>
        <v>295000</v>
      </c>
    </row>
    <row r="332" spans="1:11">
      <c r="A332" t="s">
        <v>422</v>
      </c>
      <c r="B332" s="2">
        <v>44972</v>
      </c>
      <c r="C332" t="s">
        <v>153</v>
      </c>
      <c r="D332" t="s">
        <v>83</v>
      </c>
      <c r="E332" t="s">
        <v>84</v>
      </c>
      <c r="F332" t="s">
        <v>12</v>
      </c>
      <c r="G332">
        <v>1</v>
      </c>
      <c r="H332">
        <v>395000</v>
      </c>
      <c r="I332">
        <v>0</v>
      </c>
      <c r="J332" t="s">
        <v>16</v>
      </c>
      <c r="K332" s="14">
        <f t="shared" si="5"/>
        <v>395000</v>
      </c>
    </row>
    <row r="333" spans="1:11">
      <c r="A333" t="s">
        <v>423</v>
      </c>
      <c r="B333" s="2">
        <v>45115</v>
      </c>
      <c r="C333" t="s">
        <v>75</v>
      </c>
      <c r="D333" t="s">
        <v>32</v>
      </c>
      <c r="E333" t="s">
        <v>29</v>
      </c>
      <c r="F333" t="s">
        <v>12</v>
      </c>
      <c r="G333">
        <v>4</v>
      </c>
      <c r="H333">
        <v>215000</v>
      </c>
      <c r="I333">
        <v>0</v>
      </c>
      <c r="J333" t="s">
        <v>16</v>
      </c>
      <c r="K333" s="14">
        <f t="shared" si="5"/>
        <v>860000</v>
      </c>
    </row>
    <row r="334" spans="1:11">
      <c r="A334" t="s">
        <v>424</v>
      </c>
      <c r="B334" s="2">
        <v>45274</v>
      </c>
      <c r="C334" t="s">
        <v>101</v>
      </c>
      <c r="D334" t="s">
        <v>102</v>
      </c>
      <c r="E334" t="s">
        <v>11</v>
      </c>
      <c r="F334" t="s">
        <v>12</v>
      </c>
      <c r="G334">
        <v>1</v>
      </c>
      <c r="H334">
        <v>430000</v>
      </c>
      <c r="I334">
        <v>0</v>
      </c>
      <c r="J334" t="s">
        <v>21</v>
      </c>
      <c r="K334" s="14">
        <f t="shared" si="5"/>
        <v>430000</v>
      </c>
    </row>
    <row r="335" spans="1:11">
      <c r="A335" t="s">
        <v>425</v>
      </c>
      <c r="B335" s="2">
        <v>45142</v>
      </c>
      <c r="C335" t="s">
        <v>173</v>
      </c>
      <c r="D335" t="s">
        <v>39</v>
      </c>
      <c r="E335" t="s">
        <v>40</v>
      </c>
      <c r="F335" t="s">
        <v>68</v>
      </c>
      <c r="G335">
        <v>2</v>
      </c>
      <c r="H335">
        <v>320000</v>
      </c>
      <c r="I335">
        <v>0</v>
      </c>
      <c r="J335" t="s">
        <v>21</v>
      </c>
      <c r="K335" s="14">
        <f t="shared" si="5"/>
        <v>640000</v>
      </c>
    </row>
    <row r="336" spans="1:11">
      <c r="A336" t="s">
        <v>426</v>
      </c>
      <c r="B336" s="2">
        <v>44995</v>
      </c>
      <c r="C336" t="s">
        <v>119</v>
      </c>
      <c r="D336" t="s">
        <v>120</v>
      </c>
      <c r="E336" t="s">
        <v>11</v>
      </c>
      <c r="F336" t="s">
        <v>68</v>
      </c>
      <c r="G336">
        <v>1</v>
      </c>
      <c r="H336">
        <v>440000</v>
      </c>
      <c r="I336">
        <v>0</v>
      </c>
      <c r="J336" t="s">
        <v>16</v>
      </c>
      <c r="K336" s="14">
        <f t="shared" si="5"/>
        <v>440000</v>
      </c>
    </row>
    <row r="337" spans="1:11">
      <c r="A337" t="s">
        <v>427</v>
      </c>
      <c r="B337" s="2">
        <v>44955</v>
      </c>
      <c r="C337" t="s">
        <v>34</v>
      </c>
      <c r="D337" t="s">
        <v>35</v>
      </c>
      <c r="E337" t="s">
        <v>36</v>
      </c>
      <c r="F337" t="s">
        <v>12</v>
      </c>
      <c r="G337">
        <v>2</v>
      </c>
      <c r="H337">
        <v>198000</v>
      </c>
      <c r="I337">
        <v>0</v>
      </c>
      <c r="J337" t="s">
        <v>16</v>
      </c>
      <c r="K337" s="14">
        <f t="shared" si="5"/>
        <v>396000</v>
      </c>
    </row>
    <row r="338" spans="1:11">
      <c r="A338" t="s">
        <v>428</v>
      </c>
      <c r="B338" s="2">
        <v>45213</v>
      </c>
      <c r="C338" t="s">
        <v>299</v>
      </c>
      <c r="D338" t="s">
        <v>120</v>
      </c>
      <c r="E338" t="s">
        <v>11</v>
      </c>
      <c r="F338" t="s">
        <v>12</v>
      </c>
      <c r="G338">
        <v>4</v>
      </c>
      <c r="H338">
        <v>440000</v>
      </c>
      <c r="I338">
        <v>0</v>
      </c>
      <c r="J338" t="s">
        <v>16</v>
      </c>
      <c r="K338" s="14">
        <f t="shared" si="5"/>
        <v>1760000</v>
      </c>
    </row>
    <row r="339" spans="1:11">
      <c r="A339" t="s">
        <v>429</v>
      </c>
      <c r="B339" s="2">
        <v>45235</v>
      </c>
      <c r="C339" t="s">
        <v>131</v>
      </c>
      <c r="D339" t="s">
        <v>132</v>
      </c>
      <c r="E339" t="s">
        <v>20</v>
      </c>
      <c r="F339" t="s">
        <v>12</v>
      </c>
      <c r="G339">
        <v>1</v>
      </c>
      <c r="H339">
        <v>280000</v>
      </c>
      <c r="I339">
        <v>0</v>
      </c>
      <c r="J339" t="s">
        <v>16</v>
      </c>
      <c r="K339" s="14">
        <f t="shared" si="5"/>
        <v>280000</v>
      </c>
    </row>
    <row r="340" spans="1:11">
      <c r="A340" t="s">
        <v>430</v>
      </c>
      <c r="B340" s="2">
        <v>45249</v>
      </c>
      <c r="C340" t="s">
        <v>131</v>
      </c>
      <c r="D340" t="s">
        <v>132</v>
      </c>
      <c r="E340" t="s">
        <v>20</v>
      </c>
      <c r="F340" t="s">
        <v>12</v>
      </c>
      <c r="G340">
        <v>2</v>
      </c>
      <c r="H340">
        <v>280000</v>
      </c>
      <c r="I340">
        <v>0</v>
      </c>
      <c r="J340" t="s">
        <v>21</v>
      </c>
      <c r="K340" s="14">
        <f t="shared" si="5"/>
        <v>560000</v>
      </c>
    </row>
    <row r="341" spans="1:11">
      <c r="A341" t="s">
        <v>431</v>
      </c>
      <c r="B341" s="2">
        <v>45129</v>
      </c>
      <c r="C341" t="s">
        <v>88</v>
      </c>
      <c r="D341" t="s">
        <v>10</v>
      </c>
      <c r="E341" t="s">
        <v>11</v>
      </c>
      <c r="F341" t="s">
        <v>62</v>
      </c>
      <c r="G341">
        <v>1</v>
      </c>
      <c r="H341">
        <v>420000</v>
      </c>
      <c r="I341">
        <v>0</v>
      </c>
      <c r="J341" t="s">
        <v>1268</v>
      </c>
      <c r="K341" s="14">
        <f t="shared" si="5"/>
        <v>420000</v>
      </c>
    </row>
    <row r="342" spans="1:11">
      <c r="A342" t="s">
        <v>432</v>
      </c>
      <c r="B342" s="2">
        <v>45114</v>
      </c>
      <c r="C342" t="s">
        <v>43</v>
      </c>
      <c r="D342" t="s">
        <v>44</v>
      </c>
      <c r="E342" t="s">
        <v>29</v>
      </c>
      <c r="F342" t="s">
        <v>68</v>
      </c>
      <c r="G342">
        <v>4</v>
      </c>
      <c r="H342">
        <v>235000</v>
      </c>
      <c r="I342">
        <v>15</v>
      </c>
      <c r="J342" t="s">
        <v>71</v>
      </c>
      <c r="K342" s="14">
        <f t="shared" si="5"/>
        <v>799000</v>
      </c>
    </row>
    <row r="343" spans="1:11">
      <c r="A343" t="s">
        <v>433</v>
      </c>
      <c r="B343" s="2">
        <v>45277</v>
      </c>
      <c r="C343" t="s">
        <v>162</v>
      </c>
      <c r="D343" t="s">
        <v>56</v>
      </c>
      <c r="E343" t="s">
        <v>57</v>
      </c>
      <c r="F343" t="s">
        <v>68</v>
      </c>
      <c r="G343">
        <v>1</v>
      </c>
      <c r="H343">
        <v>105000</v>
      </c>
      <c r="I343">
        <v>10</v>
      </c>
      <c r="J343" t="s">
        <v>16</v>
      </c>
      <c r="K343" s="14">
        <f t="shared" si="5"/>
        <v>94500</v>
      </c>
    </row>
    <row r="344" spans="1:11">
      <c r="A344" t="s">
        <v>434</v>
      </c>
      <c r="B344" s="2">
        <v>45274</v>
      </c>
      <c r="C344" t="s">
        <v>64</v>
      </c>
      <c r="D344" t="s">
        <v>65</v>
      </c>
      <c r="E344" t="s">
        <v>66</v>
      </c>
      <c r="F344" t="s">
        <v>1268</v>
      </c>
      <c r="G344">
        <v>1</v>
      </c>
      <c r="H344">
        <v>295000</v>
      </c>
      <c r="I344">
        <v>0</v>
      </c>
      <c r="J344" t="s">
        <v>21</v>
      </c>
      <c r="K344" s="14">
        <f t="shared" si="5"/>
        <v>295000</v>
      </c>
    </row>
    <row r="345" spans="1:11">
      <c r="A345" t="s">
        <v>231</v>
      </c>
      <c r="B345" s="2">
        <v>45270</v>
      </c>
      <c r="C345" t="s">
        <v>60</v>
      </c>
      <c r="D345" t="s">
        <v>61</v>
      </c>
      <c r="E345" t="s">
        <v>20</v>
      </c>
      <c r="F345" t="s">
        <v>62</v>
      </c>
      <c r="G345">
        <v>2</v>
      </c>
      <c r="H345">
        <v>260000</v>
      </c>
      <c r="I345">
        <v>20</v>
      </c>
      <c r="J345" t="s">
        <v>21</v>
      </c>
      <c r="K345" s="14">
        <f t="shared" si="5"/>
        <v>416000</v>
      </c>
    </row>
    <row r="346" spans="1:11">
      <c r="A346" t="s">
        <v>435</v>
      </c>
      <c r="B346" s="2">
        <v>45055</v>
      </c>
      <c r="C346" t="s">
        <v>133</v>
      </c>
      <c r="D346" t="s">
        <v>102</v>
      </c>
      <c r="E346" t="s">
        <v>11</v>
      </c>
      <c r="F346" t="s">
        <v>62</v>
      </c>
      <c r="G346">
        <v>1</v>
      </c>
      <c r="H346">
        <v>430000</v>
      </c>
      <c r="I346">
        <v>15</v>
      </c>
      <c r="J346" t="s">
        <v>21</v>
      </c>
      <c r="K346" s="14">
        <f t="shared" si="5"/>
        <v>365500</v>
      </c>
    </row>
    <row r="347" spans="1:11">
      <c r="A347" t="s">
        <v>436</v>
      </c>
      <c r="B347" s="2">
        <v>45175</v>
      </c>
      <c r="C347" t="s">
        <v>55</v>
      </c>
      <c r="D347" t="s">
        <v>56</v>
      </c>
      <c r="E347" t="s">
        <v>57</v>
      </c>
      <c r="F347" t="s">
        <v>62</v>
      </c>
      <c r="G347">
        <v>5</v>
      </c>
      <c r="H347">
        <v>105000</v>
      </c>
      <c r="I347">
        <v>0</v>
      </c>
      <c r="J347" t="s">
        <v>71</v>
      </c>
      <c r="K347" s="14">
        <f t="shared" si="5"/>
        <v>525000</v>
      </c>
    </row>
    <row r="348" spans="1:11">
      <c r="A348" t="s">
        <v>437</v>
      </c>
      <c r="B348" s="2">
        <v>45246</v>
      </c>
      <c r="C348" t="s">
        <v>119</v>
      </c>
      <c r="D348" t="s">
        <v>120</v>
      </c>
      <c r="E348" t="s">
        <v>11</v>
      </c>
      <c r="F348" t="s">
        <v>68</v>
      </c>
      <c r="G348">
        <v>1</v>
      </c>
      <c r="H348">
        <v>440000</v>
      </c>
      <c r="I348">
        <v>0</v>
      </c>
      <c r="J348" t="s">
        <v>16</v>
      </c>
      <c r="K348" s="14">
        <f t="shared" si="5"/>
        <v>440000</v>
      </c>
    </row>
    <row r="349" spans="1:11">
      <c r="A349" t="s">
        <v>438</v>
      </c>
      <c r="B349" s="2">
        <v>45282</v>
      </c>
      <c r="C349" t="s">
        <v>88</v>
      </c>
      <c r="D349" t="s">
        <v>10</v>
      </c>
      <c r="E349" t="s">
        <v>11</v>
      </c>
      <c r="F349" t="s">
        <v>62</v>
      </c>
      <c r="G349">
        <v>1</v>
      </c>
      <c r="H349">
        <v>420000</v>
      </c>
      <c r="I349">
        <v>0</v>
      </c>
      <c r="J349" t="s">
        <v>16</v>
      </c>
      <c r="K349" s="14">
        <f t="shared" si="5"/>
        <v>420000</v>
      </c>
    </row>
    <row r="350" spans="1:11">
      <c r="A350" t="s">
        <v>439</v>
      </c>
      <c r="B350" s="2">
        <v>45104</v>
      </c>
      <c r="C350" t="s">
        <v>82</v>
      </c>
      <c r="D350" t="s">
        <v>83</v>
      </c>
      <c r="E350" t="s">
        <v>84</v>
      </c>
      <c r="F350" t="s">
        <v>68</v>
      </c>
      <c r="G350">
        <v>1</v>
      </c>
      <c r="H350">
        <v>395000</v>
      </c>
      <c r="I350">
        <v>0</v>
      </c>
      <c r="J350" t="s">
        <v>41</v>
      </c>
      <c r="K350" s="14">
        <f t="shared" si="5"/>
        <v>395000</v>
      </c>
    </row>
    <row r="351" spans="1:11">
      <c r="A351" t="s">
        <v>440</v>
      </c>
      <c r="B351" s="2">
        <v>45007</v>
      </c>
      <c r="C351" t="s">
        <v>299</v>
      </c>
      <c r="D351" t="s">
        <v>120</v>
      </c>
      <c r="E351" t="s">
        <v>11</v>
      </c>
      <c r="F351" t="s">
        <v>12</v>
      </c>
      <c r="G351">
        <v>3</v>
      </c>
      <c r="H351">
        <v>440000</v>
      </c>
      <c r="I351">
        <v>0</v>
      </c>
      <c r="J351" t="s">
        <v>13</v>
      </c>
      <c r="K351" s="14">
        <f t="shared" si="5"/>
        <v>1320000</v>
      </c>
    </row>
    <row r="352" spans="1:11">
      <c r="A352" t="s">
        <v>441</v>
      </c>
      <c r="B352" s="2">
        <v>44938</v>
      </c>
      <c r="C352" t="s">
        <v>133</v>
      </c>
      <c r="D352" t="s">
        <v>102</v>
      </c>
      <c r="E352" t="s">
        <v>11</v>
      </c>
      <c r="F352" t="s">
        <v>62</v>
      </c>
      <c r="G352">
        <v>4</v>
      </c>
      <c r="H352">
        <v>430000</v>
      </c>
      <c r="I352">
        <v>15</v>
      </c>
      <c r="J352" t="s">
        <v>71</v>
      </c>
      <c r="K352" s="14">
        <f t="shared" si="5"/>
        <v>1462000</v>
      </c>
    </row>
    <row r="353" spans="1:11">
      <c r="A353" t="s">
        <v>442</v>
      </c>
      <c r="B353" s="2">
        <v>45180</v>
      </c>
      <c r="C353" t="s">
        <v>34</v>
      </c>
      <c r="D353" t="s">
        <v>35</v>
      </c>
      <c r="E353" t="s">
        <v>36</v>
      </c>
      <c r="F353" t="s">
        <v>12</v>
      </c>
      <c r="G353">
        <v>2</v>
      </c>
      <c r="H353">
        <v>198000</v>
      </c>
      <c r="I353">
        <v>0</v>
      </c>
      <c r="J353" t="s">
        <v>21</v>
      </c>
      <c r="K353" s="14">
        <f t="shared" si="5"/>
        <v>396000</v>
      </c>
    </row>
    <row r="354" spans="1:11">
      <c r="A354" t="s">
        <v>443</v>
      </c>
      <c r="B354" s="2">
        <v>45263</v>
      </c>
      <c r="C354" t="s">
        <v>52</v>
      </c>
      <c r="D354" t="s">
        <v>53</v>
      </c>
      <c r="E354" t="s">
        <v>1293</v>
      </c>
      <c r="F354" t="s">
        <v>12</v>
      </c>
      <c r="G354">
        <v>1</v>
      </c>
      <c r="H354">
        <v>195000</v>
      </c>
      <c r="I354">
        <v>0</v>
      </c>
      <c r="J354" t="s">
        <v>16</v>
      </c>
      <c r="K354" s="14">
        <f t="shared" si="5"/>
        <v>195000</v>
      </c>
    </row>
    <row r="355" spans="1:11">
      <c r="A355" t="s">
        <v>444</v>
      </c>
      <c r="B355" s="2">
        <v>45017</v>
      </c>
      <c r="C355" t="s">
        <v>34</v>
      </c>
      <c r="D355" t="s">
        <v>35</v>
      </c>
      <c r="E355" t="s">
        <v>36</v>
      </c>
      <c r="F355" t="s">
        <v>12</v>
      </c>
      <c r="G355">
        <v>3</v>
      </c>
      <c r="H355">
        <v>198000</v>
      </c>
      <c r="I355">
        <v>0</v>
      </c>
      <c r="J355" t="s">
        <v>41</v>
      </c>
      <c r="K355" s="14">
        <f t="shared" si="5"/>
        <v>594000</v>
      </c>
    </row>
    <row r="356" spans="1:11">
      <c r="A356" t="s">
        <v>445</v>
      </c>
      <c r="B356" s="2">
        <v>44955</v>
      </c>
      <c r="C356" t="s">
        <v>38</v>
      </c>
      <c r="D356" t="s">
        <v>39</v>
      </c>
      <c r="E356" t="s">
        <v>40</v>
      </c>
      <c r="F356" t="s">
        <v>12</v>
      </c>
      <c r="G356">
        <v>3</v>
      </c>
      <c r="H356">
        <v>320000</v>
      </c>
      <c r="I356">
        <v>0</v>
      </c>
      <c r="J356" t="s">
        <v>21</v>
      </c>
      <c r="K356" s="14">
        <f t="shared" si="5"/>
        <v>960000</v>
      </c>
    </row>
    <row r="357" spans="1:11">
      <c r="A357" t="s">
        <v>446</v>
      </c>
      <c r="B357" s="2">
        <v>45242</v>
      </c>
      <c r="C357" t="s">
        <v>108</v>
      </c>
      <c r="D357" t="s">
        <v>56</v>
      </c>
      <c r="E357" t="s">
        <v>57</v>
      </c>
      <c r="F357" t="s">
        <v>12</v>
      </c>
      <c r="G357">
        <v>1</v>
      </c>
      <c r="H357">
        <v>105000</v>
      </c>
      <c r="I357">
        <v>0</v>
      </c>
      <c r="J357" t="s">
        <v>16</v>
      </c>
      <c r="K357" s="14">
        <f t="shared" si="5"/>
        <v>105000</v>
      </c>
    </row>
    <row r="358" spans="1:11">
      <c r="A358" t="s">
        <v>447</v>
      </c>
      <c r="B358" s="2">
        <v>44994</v>
      </c>
      <c r="C358" t="s">
        <v>184</v>
      </c>
      <c r="D358" t="s">
        <v>110</v>
      </c>
      <c r="E358" t="s">
        <v>66</v>
      </c>
      <c r="F358" t="s">
        <v>12</v>
      </c>
      <c r="G358">
        <v>1</v>
      </c>
      <c r="H358">
        <v>335000</v>
      </c>
      <c r="I358">
        <v>15</v>
      </c>
      <c r="J358" t="s">
        <v>41</v>
      </c>
      <c r="K358" s="14">
        <f t="shared" si="5"/>
        <v>284750</v>
      </c>
    </row>
    <row r="359" spans="1:11">
      <c r="A359" t="s">
        <v>448</v>
      </c>
      <c r="B359" s="2">
        <v>45175</v>
      </c>
      <c r="C359" t="s">
        <v>153</v>
      </c>
      <c r="D359" t="s">
        <v>83</v>
      </c>
      <c r="E359" t="s">
        <v>84</v>
      </c>
      <c r="F359" t="s">
        <v>12</v>
      </c>
      <c r="G359">
        <v>2</v>
      </c>
      <c r="H359">
        <v>395000</v>
      </c>
      <c r="I359">
        <v>15</v>
      </c>
      <c r="J359" t="s">
        <v>16</v>
      </c>
      <c r="K359" s="14">
        <f t="shared" si="5"/>
        <v>671500</v>
      </c>
    </row>
    <row r="360" spans="1:11">
      <c r="A360" t="s">
        <v>449</v>
      </c>
      <c r="B360" s="2">
        <v>45010</v>
      </c>
      <c r="C360" t="s">
        <v>60</v>
      </c>
      <c r="D360" t="s">
        <v>61</v>
      </c>
      <c r="E360" t="s">
        <v>20</v>
      </c>
      <c r="F360" t="s">
        <v>62</v>
      </c>
      <c r="G360">
        <v>1</v>
      </c>
      <c r="H360">
        <v>260000</v>
      </c>
      <c r="I360">
        <v>0</v>
      </c>
      <c r="J360" t="s">
        <v>71</v>
      </c>
      <c r="K360" s="14">
        <f t="shared" si="5"/>
        <v>260000</v>
      </c>
    </row>
    <row r="361" spans="1:11">
      <c r="A361" t="s">
        <v>450</v>
      </c>
      <c r="B361" s="2">
        <v>44989</v>
      </c>
      <c r="C361" t="s">
        <v>52</v>
      </c>
      <c r="D361" t="s">
        <v>53</v>
      </c>
      <c r="E361" t="s">
        <v>1293</v>
      </c>
      <c r="F361" t="s">
        <v>12</v>
      </c>
      <c r="G361">
        <v>1</v>
      </c>
      <c r="H361">
        <v>195000</v>
      </c>
      <c r="I361">
        <v>0</v>
      </c>
      <c r="J361" t="s">
        <v>16</v>
      </c>
      <c r="K361" s="14">
        <f t="shared" si="5"/>
        <v>195000</v>
      </c>
    </row>
    <row r="362" spans="1:11">
      <c r="A362" t="s">
        <v>451</v>
      </c>
      <c r="B362" s="2">
        <v>45239</v>
      </c>
      <c r="C362" t="s">
        <v>31</v>
      </c>
      <c r="D362" t="s">
        <v>32</v>
      </c>
      <c r="E362" t="s">
        <v>29</v>
      </c>
      <c r="F362" t="s">
        <v>1268</v>
      </c>
      <c r="G362">
        <v>5</v>
      </c>
      <c r="H362">
        <v>215000</v>
      </c>
      <c r="I362">
        <v>5</v>
      </c>
      <c r="J362" t="s">
        <v>21</v>
      </c>
      <c r="K362" s="14">
        <f t="shared" si="5"/>
        <v>1021250</v>
      </c>
    </row>
    <row r="363" spans="1:11">
      <c r="A363" t="s">
        <v>452</v>
      </c>
      <c r="B363" s="2">
        <v>45138</v>
      </c>
      <c r="C363" t="s">
        <v>82</v>
      </c>
      <c r="D363" t="s">
        <v>83</v>
      </c>
      <c r="E363" t="s">
        <v>84</v>
      </c>
      <c r="F363" t="s">
        <v>68</v>
      </c>
      <c r="G363">
        <v>1</v>
      </c>
      <c r="H363">
        <v>395000</v>
      </c>
      <c r="I363">
        <v>5</v>
      </c>
      <c r="J363" t="s">
        <v>1268</v>
      </c>
      <c r="K363" s="14">
        <f t="shared" si="5"/>
        <v>375250</v>
      </c>
    </row>
    <row r="364" spans="1:11">
      <c r="A364" t="s">
        <v>453</v>
      </c>
      <c r="B364" s="2">
        <v>45014</v>
      </c>
      <c r="C364" t="s">
        <v>147</v>
      </c>
      <c r="D364" t="s">
        <v>148</v>
      </c>
      <c r="E364" t="s">
        <v>66</v>
      </c>
      <c r="F364" t="s">
        <v>12</v>
      </c>
      <c r="G364">
        <v>1</v>
      </c>
      <c r="H364">
        <v>305000</v>
      </c>
      <c r="I364">
        <v>0</v>
      </c>
      <c r="J364" t="s">
        <v>47</v>
      </c>
      <c r="K364" s="14">
        <f t="shared" si="5"/>
        <v>305000</v>
      </c>
    </row>
    <row r="365" spans="1:11">
      <c r="A365" t="s">
        <v>454</v>
      </c>
      <c r="B365" s="2">
        <v>45282</v>
      </c>
      <c r="C365" t="s">
        <v>101</v>
      </c>
      <c r="D365" t="s">
        <v>102</v>
      </c>
      <c r="E365" t="s">
        <v>11</v>
      </c>
      <c r="F365" t="s">
        <v>12</v>
      </c>
      <c r="G365">
        <v>1</v>
      </c>
      <c r="H365">
        <v>430000</v>
      </c>
      <c r="I365">
        <v>0</v>
      </c>
      <c r="J365" t="s">
        <v>21</v>
      </c>
      <c r="K365" s="14">
        <f t="shared" si="5"/>
        <v>430000</v>
      </c>
    </row>
    <row r="366" spans="1:11">
      <c r="A366" t="s">
        <v>455</v>
      </c>
      <c r="B366" s="2">
        <v>45098</v>
      </c>
      <c r="C366" t="s">
        <v>162</v>
      </c>
      <c r="D366" t="s">
        <v>56</v>
      </c>
      <c r="E366" t="s">
        <v>57</v>
      </c>
      <c r="F366" t="s">
        <v>68</v>
      </c>
      <c r="G366">
        <v>2</v>
      </c>
      <c r="H366">
        <v>105000</v>
      </c>
      <c r="I366">
        <v>0</v>
      </c>
      <c r="J366" t="s">
        <v>16</v>
      </c>
      <c r="K366" s="14">
        <f t="shared" si="5"/>
        <v>210000</v>
      </c>
    </row>
    <row r="367" spans="1:11">
      <c r="A367" t="s">
        <v>456</v>
      </c>
      <c r="B367" s="2">
        <v>44995</v>
      </c>
      <c r="C367" t="s">
        <v>94</v>
      </c>
      <c r="D367" t="s">
        <v>50</v>
      </c>
      <c r="E367" t="s">
        <v>29</v>
      </c>
      <c r="F367" t="s">
        <v>68</v>
      </c>
      <c r="G367">
        <v>1</v>
      </c>
      <c r="H367">
        <v>220000</v>
      </c>
      <c r="I367">
        <v>0</v>
      </c>
      <c r="J367" t="s">
        <v>41</v>
      </c>
      <c r="K367" s="14">
        <f t="shared" si="5"/>
        <v>220000</v>
      </c>
    </row>
    <row r="368" spans="1:11">
      <c r="A368" t="s">
        <v>457</v>
      </c>
      <c r="B368" s="2">
        <v>45005</v>
      </c>
      <c r="C368" t="s">
        <v>250</v>
      </c>
      <c r="D368" t="s">
        <v>53</v>
      </c>
      <c r="E368" t="s">
        <v>36</v>
      </c>
      <c r="F368" t="s">
        <v>62</v>
      </c>
      <c r="G368">
        <v>1</v>
      </c>
      <c r="H368">
        <v>195000</v>
      </c>
      <c r="I368">
        <v>0</v>
      </c>
      <c r="J368" t="s">
        <v>16</v>
      </c>
      <c r="K368" s="14">
        <f t="shared" si="5"/>
        <v>195000</v>
      </c>
    </row>
    <row r="369" spans="1:11">
      <c r="A369" t="s">
        <v>458</v>
      </c>
      <c r="B369" s="2">
        <v>45209</v>
      </c>
      <c r="C369" t="s">
        <v>75</v>
      </c>
      <c r="D369" t="s">
        <v>32</v>
      </c>
      <c r="E369" t="s">
        <v>29</v>
      </c>
      <c r="F369" t="s">
        <v>12</v>
      </c>
      <c r="G369">
        <v>2</v>
      </c>
      <c r="H369">
        <v>215000</v>
      </c>
      <c r="I369">
        <v>5</v>
      </c>
      <c r="J369" t="s">
        <v>16</v>
      </c>
      <c r="K369" s="14">
        <f t="shared" si="5"/>
        <v>408500</v>
      </c>
    </row>
    <row r="370" spans="1:11">
      <c r="A370" t="s">
        <v>459</v>
      </c>
      <c r="B370" s="2">
        <v>45087</v>
      </c>
      <c r="C370" t="s">
        <v>75</v>
      </c>
      <c r="D370" t="s">
        <v>32</v>
      </c>
      <c r="E370" t="s">
        <v>29</v>
      </c>
      <c r="F370" t="s">
        <v>12</v>
      </c>
      <c r="G370">
        <v>5</v>
      </c>
      <c r="H370">
        <v>215000</v>
      </c>
      <c r="I370">
        <v>0</v>
      </c>
      <c r="J370" t="s">
        <v>21</v>
      </c>
      <c r="K370" s="14">
        <f t="shared" si="5"/>
        <v>1075000</v>
      </c>
    </row>
    <row r="371" spans="1:11">
      <c r="A371" t="s">
        <v>460</v>
      </c>
      <c r="B371" s="2">
        <v>44982</v>
      </c>
      <c r="C371" t="s">
        <v>64</v>
      </c>
      <c r="D371" t="s">
        <v>65</v>
      </c>
      <c r="E371" t="s">
        <v>66</v>
      </c>
      <c r="F371" t="s">
        <v>62</v>
      </c>
      <c r="G371">
        <v>1</v>
      </c>
      <c r="H371">
        <v>295000</v>
      </c>
      <c r="I371">
        <v>0</v>
      </c>
      <c r="J371" t="s">
        <v>21</v>
      </c>
      <c r="K371" s="14">
        <f t="shared" si="5"/>
        <v>295000</v>
      </c>
    </row>
    <row r="372" spans="1:11">
      <c r="A372" t="s">
        <v>461</v>
      </c>
      <c r="B372" s="2">
        <v>45233</v>
      </c>
      <c r="C372" t="s">
        <v>38</v>
      </c>
      <c r="D372" t="s">
        <v>39</v>
      </c>
      <c r="E372" t="s">
        <v>40</v>
      </c>
      <c r="F372" t="s">
        <v>12</v>
      </c>
      <c r="G372">
        <v>3</v>
      </c>
      <c r="H372">
        <v>320000</v>
      </c>
      <c r="I372">
        <v>0</v>
      </c>
      <c r="J372" t="s">
        <v>21</v>
      </c>
      <c r="K372" s="14">
        <f t="shared" si="5"/>
        <v>960000</v>
      </c>
    </row>
    <row r="373" spans="1:11">
      <c r="A373" t="s">
        <v>462</v>
      </c>
      <c r="B373" s="2">
        <v>45163</v>
      </c>
      <c r="C373" t="s">
        <v>242</v>
      </c>
      <c r="D373" t="s">
        <v>97</v>
      </c>
      <c r="E373" t="s">
        <v>98</v>
      </c>
      <c r="F373" t="s">
        <v>62</v>
      </c>
      <c r="G373">
        <v>1</v>
      </c>
      <c r="H373">
        <v>170000</v>
      </c>
      <c r="I373">
        <v>0</v>
      </c>
      <c r="J373" t="s">
        <v>16</v>
      </c>
      <c r="K373" s="14">
        <f t="shared" si="5"/>
        <v>170000</v>
      </c>
    </row>
    <row r="374" spans="1:11">
      <c r="A374" t="s">
        <v>463</v>
      </c>
      <c r="B374" s="2">
        <v>45206</v>
      </c>
      <c r="C374" t="s">
        <v>144</v>
      </c>
      <c r="D374" t="s">
        <v>142</v>
      </c>
      <c r="E374" t="s">
        <v>66</v>
      </c>
      <c r="F374" t="s">
        <v>1268</v>
      </c>
      <c r="G374">
        <v>1</v>
      </c>
      <c r="H374">
        <v>330000</v>
      </c>
      <c r="I374">
        <v>0</v>
      </c>
      <c r="J374" t="s">
        <v>21</v>
      </c>
      <c r="K374" s="14">
        <f t="shared" si="5"/>
        <v>330000</v>
      </c>
    </row>
    <row r="375" spans="1:11">
      <c r="A375" t="s">
        <v>464</v>
      </c>
      <c r="B375" s="2">
        <v>45049</v>
      </c>
      <c r="C375" t="s">
        <v>101</v>
      </c>
      <c r="D375" t="s">
        <v>102</v>
      </c>
      <c r="E375" t="s">
        <v>11</v>
      </c>
      <c r="F375" t="s">
        <v>12</v>
      </c>
      <c r="G375">
        <v>1</v>
      </c>
      <c r="H375">
        <v>430000</v>
      </c>
      <c r="I375">
        <v>0</v>
      </c>
      <c r="J375" t="s">
        <v>21</v>
      </c>
      <c r="K375" s="14">
        <f t="shared" ref="K375:K437" si="6">G375*H375*(1-I375/100)</f>
        <v>430000</v>
      </c>
    </row>
    <row r="376" spans="1:11">
      <c r="A376" t="s">
        <v>465</v>
      </c>
      <c r="B376" s="2">
        <v>45001</v>
      </c>
      <c r="C376" t="s">
        <v>119</v>
      </c>
      <c r="D376" t="s">
        <v>120</v>
      </c>
      <c r="E376" t="s">
        <v>11</v>
      </c>
      <c r="F376" t="s">
        <v>68</v>
      </c>
      <c r="G376">
        <v>5</v>
      </c>
      <c r="H376">
        <v>440000</v>
      </c>
      <c r="I376">
        <v>0</v>
      </c>
      <c r="J376" t="s">
        <v>71</v>
      </c>
      <c r="K376" s="14">
        <f t="shared" si="6"/>
        <v>2200000</v>
      </c>
    </row>
    <row r="377" spans="1:11">
      <c r="A377" t="s">
        <v>466</v>
      </c>
      <c r="B377" s="2">
        <v>45030</v>
      </c>
      <c r="C377" t="s">
        <v>34</v>
      </c>
      <c r="D377" t="s">
        <v>35</v>
      </c>
      <c r="E377" t="s">
        <v>36</v>
      </c>
      <c r="F377" t="s">
        <v>12</v>
      </c>
      <c r="G377">
        <v>1</v>
      </c>
      <c r="H377">
        <v>198000</v>
      </c>
      <c r="I377">
        <v>0</v>
      </c>
      <c r="J377" t="s">
        <v>16</v>
      </c>
      <c r="K377" s="14">
        <f t="shared" si="6"/>
        <v>198000</v>
      </c>
    </row>
    <row r="378" spans="1:11">
      <c r="A378" t="s">
        <v>467</v>
      </c>
      <c r="B378" s="2">
        <v>45020</v>
      </c>
      <c r="C378" t="s">
        <v>144</v>
      </c>
      <c r="D378" t="s">
        <v>142</v>
      </c>
      <c r="E378" t="s">
        <v>66</v>
      </c>
      <c r="F378" t="s">
        <v>1268</v>
      </c>
      <c r="G378">
        <v>2</v>
      </c>
      <c r="H378">
        <v>330000</v>
      </c>
      <c r="I378">
        <v>0</v>
      </c>
      <c r="J378" t="s">
        <v>21</v>
      </c>
      <c r="K378" s="14">
        <f t="shared" si="6"/>
        <v>660000</v>
      </c>
    </row>
    <row r="379" spans="1:11">
      <c r="A379" t="s">
        <v>468</v>
      </c>
      <c r="B379" s="2">
        <v>45172</v>
      </c>
      <c r="C379" t="s">
        <v>173</v>
      </c>
      <c r="D379" t="s">
        <v>39</v>
      </c>
      <c r="E379" t="s">
        <v>40</v>
      </c>
      <c r="F379" t="s">
        <v>1268</v>
      </c>
      <c r="G379">
        <v>3</v>
      </c>
      <c r="H379">
        <v>320000</v>
      </c>
      <c r="I379">
        <v>10</v>
      </c>
      <c r="J379" t="s">
        <v>21</v>
      </c>
      <c r="K379" s="14">
        <f t="shared" si="6"/>
        <v>864000</v>
      </c>
    </row>
    <row r="380" spans="1:11">
      <c r="A380" t="s">
        <v>469</v>
      </c>
      <c r="B380" s="2">
        <v>44950</v>
      </c>
      <c r="C380" t="s">
        <v>184</v>
      </c>
      <c r="D380" t="s">
        <v>110</v>
      </c>
      <c r="E380" t="s">
        <v>66</v>
      </c>
      <c r="F380" t="s">
        <v>12</v>
      </c>
      <c r="G380">
        <v>1</v>
      </c>
      <c r="H380">
        <v>335000</v>
      </c>
      <c r="I380">
        <v>0</v>
      </c>
      <c r="J380" t="s">
        <v>21</v>
      </c>
      <c r="K380" s="14">
        <f t="shared" si="6"/>
        <v>335000</v>
      </c>
    </row>
    <row r="381" spans="1:11">
      <c r="A381" t="s">
        <v>470</v>
      </c>
      <c r="B381" s="2">
        <v>45243</v>
      </c>
      <c r="C381" t="s">
        <v>133</v>
      </c>
      <c r="D381" t="s">
        <v>102</v>
      </c>
      <c r="E381" t="s">
        <v>11</v>
      </c>
      <c r="F381" t="s">
        <v>62</v>
      </c>
      <c r="G381">
        <v>2</v>
      </c>
      <c r="H381">
        <v>430000</v>
      </c>
      <c r="I381">
        <v>0</v>
      </c>
      <c r="J381" t="s">
        <v>71</v>
      </c>
      <c r="K381" s="14">
        <f t="shared" si="6"/>
        <v>860000</v>
      </c>
    </row>
    <row r="382" spans="1:11">
      <c r="A382" t="s">
        <v>471</v>
      </c>
      <c r="B382" s="2">
        <v>45268</v>
      </c>
      <c r="C382" t="s">
        <v>242</v>
      </c>
      <c r="D382" t="s">
        <v>97</v>
      </c>
      <c r="E382" t="s">
        <v>98</v>
      </c>
      <c r="F382" t="s">
        <v>62</v>
      </c>
      <c r="G382">
        <v>1</v>
      </c>
      <c r="H382">
        <v>170000</v>
      </c>
      <c r="I382">
        <v>0</v>
      </c>
      <c r="J382" t="s">
        <v>16</v>
      </c>
      <c r="K382" s="14">
        <f t="shared" si="6"/>
        <v>170000</v>
      </c>
    </row>
    <row r="383" spans="1:11">
      <c r="A383" t="s">
        <v>472</v>
      </c>
      <c r="B383" s="2">
        <v>45112</v>
      </c>
      <c r="C383" t="s">
        <v>27</v>
      </c>
      <c r="D383" t="s">
        <v>28</v>
      </c>
      <c r="E383" t="s">
        <v>29</v>
      </c>
      <c r="F383" t="s">
        <v>12</v>
      </c>
      <c r="G383">
        <v>2</v>
      </c>
      <c r="H383">
        <v>210000</v>
      </c>
      <c r="I383">
        <v>5</v>
      </c>
      <c r="J383" t="s">
        <v>16</v>
      </c>
      <c r="K383" s="14">
        <f t="shared" si="6"/>
        <v>399000</v>
      </c>
    </row>
    <row r="384" spans="1:11">
      <c r="A384" t="s">
        <v>473</v>
      </c>
      <c r="B384" s="2">
        <v>45005</v>
      </c>
      <c r="C384" t="s">
        <v>173</v>
      </c>
      <c r="D384" t="s">
        <v>39</v>
      </c>
      <c r="E384" t="s">
        <v>40</v>
      </c>
      <c r="F384" t="s">
        <v>68</v>
      </c>
      <c r="G384">
        <v>2</v>
      </c>
      <c r="H384">
        <v>320000</v>
      </c>
      <c r="I384">
        <v>0</v>
      </c>
      <c r="J384" t="s">
        <v>1268</v>
      </c>
      <c r="K384" s="14">
        <f t="shared" si="6"/>
        <v>640000</v>
      </c>
    </row>
    <row r="385" spans="1:11">
      <c r="A385" t="s">
        <v>474</v>
      </c>
      <c r="B385" s="2">
        <v>44993</v>
      </c>
      <c r="C385" t="s">
        <v>82</v>
      </c>
      <c r="D385" t="s">
        <v>83</v>
      </c>
      <c r="E385" t="s">
        <v>84</v>
      </c>
      <c r="F385" t="s">
        <v>68</v>
      </c>
      <c r="G385">
        <v>4</v>
      </c>
      <c r="H385">
        <v>395000</v>
      </c>
      <c r="I385">
        <v>0</v>
      </c>
      <c r="J385" t="s">
        <v>21</v>
      </c>
      <c r="K385" s="14">
        <f t="shared" si="6"/>
        <v>1580000</v>
      </c>
    </row>
    <row r="386" spans="1:11">
      <c r="A386" t="s">
        <v>475</v>
      </c>
      <c r="B386" s="2">
        <v>45208</v>
      </c>
      <c r="C386" t="s">
        <v>133</v>
      </c>
      <c r="D386" t="s">
        <v>102</v>
      </c>
      <c r="E386" t="s">
        <v>11</v>
      </c>
      <c r="F386" t="s">
        <v>62</v>
      </c>
      <c r="G386">
        <v>3</v>
      </c>
      <c r="H386">
        <v>430000</v>
      </c>
      <c r="I386">
        <v>0</v>
      </c>
      <c r="J386" t="s">
        <v>16</v>
      </c>
      <c r="K386" s="14">
        <f t="shared" si="6"/>
        <v>1290000</v>
      </c>
    </row>
    <row r="387" spans="1:11">
      <c r="A387" t="s">
        <v>476</v>
      </c>
      <c r="B387" s="2">
        <v>44989</v>
      </c>
      <c r="C387" t="s">
        <v>153</v>
      </c>
      <c r="D387" t="s">
        <v>83</v>
      </c>
      <c r="E387" t="s">
        <v>84</v>
      </c>
      <c r="F387" t="s">
        <v>12</v>
      </c>
      <c r="G387">
        <v>1</v>
      </c>
      <c r="H387">
        <v>395000</v>
      </c>
      <c r="I387">
        <v>0</v>
      </c>
      <c r="J387" t="s">
        <v>16</v>
      </c>
      <c r="K387" s="14">
        <f t="shared" si="6"/>
        <v>395000</v>
      </c>
    </row>
    <row r="388" spans="1:11">
      <c r="A388" t="s">
        <v>477</v>
      </c>
      <c r="B388" s="2">
        <v>45111</v>
      </c>
      <c r="C388" t="s">
        <v>184</v>
      </c>
      <c r="D388" t="s">
        <v>110</v>
      </c>
      <c r="E388" t="s">
        <v>66</v>
      </c>
      <c r="F388" t="s">
        <v>12</v>
      </c>
      <c r="G388">
        <v>3</v>
      </c>
      <c r="H388">
        <v>335000</v>
      </c>
      <c r="I388">
        <v>10</v>
      </c>
      <c r="J388" t="s">
        <v>16</v>
      </c>
      <c r="K388" s="14">
        <f t="shared" si="6"/>
        <v>904500</v>
      </c>
    </row>
    <row r="389" spans="1:11">
      <c r="A389" t="s">
        <v>478</v>
      </c>
      <c r="B389" s="2">
        <v>45221</v>
      </c>
      <c r="C389" t="s">
        <v>75</v>
      </c>
      <c r="D389" t="s">
        <v>32</v>
      </c>
      <c r="E389" t="s">
        <v>29</v>
      </c>
      <c r="F389" t="s">
        <v>12</v>
      </c>
      <c r="G389">
        <v>3</v>
      </c>
      <c r="H389">
        <v>215000</v>
      </c>
      <c r="I389">
        <v>5</v>
      </c>
      <c r="J389" t="s">
        <v>16</v>
      </c>
      <c r="K389" s="14">
        <f t="shared" si="6"/>
        <v>612750</v>
      </c>
    </row>
    <row r="390" spans="1:11">
      <c r="A390" t="s">
        <v>479</v>
      </c>
      <c r="B390" s="2">
        <v>44974</v>
      </c>
      <c r="C390" t="s">
        <v>147</v>
      </c>
      <c r="D390" t="s">
        <v>148</v>
      </c>
      <c r="E390" t="s">
        <v>66</v>
      </c>
      <c r="F390" t="s">
        <v>12</v>
      </c>
      <c r="G390">
        <v>1</v>
      </c>
      <c r="H390">
        <v>305000</v>
      </c>
      <c r="I390">
        <v>5</v>
      </c>
      <c r="J390" t="s">
        <v>21</v>
      </c>
      <c r="K390" s="14">
        <f t="shared" si="6"/>
        <v>289750</v>
      </c>
    </row>
    <row r="391" spans="1:11">
      <c r="A391" t="s">
        <v>480</v>
      </c>
      <c r="B391" s="2">
        <v>45037</v>
      </c>
      <c r="C391" t="s">
        <v>108</v>
      </c>
      <c r="D391" t="s">
        <v>56</v>
      </c>
      <c r="E391" t="s">
        <v>57</v>
      </c>
      <c r="F391" t="s">
        <v>12</v>
      </c>
      <c r="G391">
        <v>2</v>
      </c>
      <c r="H391">
        <v>105000</v>
      </c>
      <c r="I391">
        <v>10</v>
      </c>
      <c r="J391" t="s">
        <v>16</v>
      </c>
      <c r="K391" s="14">
        <f t="shared" si="6"/>
        <v>189000</v>
      </c>
    </row>
    <row r="392" spans="1:11">
      <c r="A392" t="s">
        <v>481</v>
      </c>
      <c r="B392" s="2">
        <v>45023</v>
      </c>
      <c r="C392" t="s">
        <v>96</v>
      </c>
      <c r="D392" t="s">
        <v>97</v>
      </c>
      <c r="E392" t="s">
        <v>98</v>
      </c>
      <c r="F392" t="s">
        <v>12</v>
      </c>
      <c r="G392">
        <v>-2</v>
      </c>
      <c r="H392">
        <v>170000</v>
      </c>
      <c r="I392">
        <v>0</v>
      </c>
      <c r="J392" t="s">
        <v>16</v>
      </c>
      <c r="K392" s="14">
        <f t="shared" si="6"/>
        <v>-340000</v>
      </c>
    </row>
    <row r="393" spans="1:11">
      <c r="A393" t="s">
        <v>377</v>
      </c>
      <c r="B393" s="2">
        <v>44970</v>
      </c>
      <c r="C393" t="s">
        <v>15</v>
      </c>
      <c r="D393" t="s">
        <v>10</v>
      </c>
      <c r="E393" t="s">
        <v>11</v>
      </c>
      <c r="F393" t="s">
        <v>68</v>
      </c>
      <c r="G393">
        <v>1</v>
      </c>
      <c r="H393">
        <v>420000</v>
      </c>
      <c r="I393">
        <v>0</v>
      </c>
      <c r="J393" t="s">
        <v>71</v>
      </c>
      <c r="K393" s="14">
        <f t="shared" si="6"/>
        <v>420000</v>
      </c>
    </row>
    <row r="394" spans="1:11">
      <c r="A394" t="s">
        <v>482</v>
      </c>
      <c r="B394" s="2">
        <v>45050</v>
      </c>
      <c r="C394" t="s">
        <v>144</v>
      </c>
      <c r="D394" t="s">
        <v>142</v>
      </c>
      <c r="E394" t="s">
        <v>66</v>
      </c>
      <c r="F394" t="s">
        <v>12</v>
      </c>
      <c r="G394">
        <v>1</v>
      </c>
      <c r="H394">
        <v>330000</v>
      </c>
      <c r="I394">
        <v>0</v>
      </c>
      <c r="J394" t="s">
        <v>71</v>
      </c>
      <c r="K394" s="14">
        <f t="shared" si="6"/>
        <v>330000</v>
      </c>
    </row>
    <row r="395" spans="1:11">
      <c r="A395" t="s">
        <v>483</v>
      </c>
      <c r="B395" s="2">
        <v>45016</v>
      </c>
      <c r="C395" t="s">
        <v>162</v>
      </c>
      <c r="D395" t="s">
        <v>56</v>
      </c>
      <c r="E395" t="s">
        <v>57</v>
      </c>
      <c r="F395" t="s">
        <v>68</v>
      </c>
      <c r="G395">
        <v>2</v>
      </c>
      <c r="H395">
        <v>105000</v>
      </c>
      <c r="I395">
        <v>10</v>
      </c>
      <c r="J395" t="s">
        <v>21</v>
      </c>
      <c r="K395" s="14">
        <f t="shared" si="6"/>
        <v>189000</v>
      </c>
    </row>
    <row r="396" spans="1:11">
      <c r="A396" t="s">
        <v>484</v>
      </c>
      <c r="B396" s="2">
        <v>45228</v>
      </c>
      <c r="C396" t="s">
        <v>52</v>
      </c>
      <c r="D396" t="s">
        <v>53</v>
      </c>
      <c r="E396" t="s">
        <v>1293</v>
      </c>
      <c r="F396" t="s">
        <v>12</v>
      </c>
      <c r="G396">
        <v>2</v>
      </c>
      <c r="H396">
        <v>195000</v>
      </c>
      <c r="I396">
        <v>0</v>
      </c>
      <c r="J396" t="s">
        <v>41</v>
      </c>
      <c r="K396" s="14">
        <f t="shared" si="6"/>
        <v>390000</v>
      </c>
    </row>
    <row r="397" spans="1:11">
      <c r="A397" t="s">
        <v>485</v>
      </c>
      <c r="B397" s="2">
        <v>45239</v>
      </c>
      <c r="C397" t="s">
        <v>31</v>
      </c>
      <c r="D397" t="s">
        <v>32</v>
      </c>
      <c r="E397" t="s">
        <v>29</v>
      </c>
      <c r="F397" t="s">
        <v>68</v>
      </c>
      <c r="G397">
        <v>3</v>
      </c>
      <c r="H397">
        <v>215000</v>
      </c>
      <c r="I397">
        <v>0</v>
      </c>
      <c r="J397" t="s">
        <v>41</v>
      </c>
      <c r="K397" s="14">
        <f t="shared" si="6"/>
        <v>645000</v>
      </c>
    </row>
    <row r="398" spans="1:11">
      <c r="A398" t="s">
        <v>486</v>
      </c>
      <c r="B398" s="2">
        <v>45256</v>
      </c>
      <c r="C398" t="s">
        <v>64</v>
      </c>
      <c r="D398" t="s">
        <v>65</v>
      </c>
      <c r="E398" t="s">
        <v>66</v>
      </c>
      <c r="F398" t="s">
        <v>62</v>
      </c>
      <c r="G398">
        <v>2</v>
      </c>
      <c r="H398">
        <v>295000</v>
      </c>
      <c r="I398">
        <v>10</v>
      </c>
      <c r="J398" t="s">
        <v>16</v>
      </c>
      <c r="K398" s="14">
        <f t="shared" si="6"/>
        <v>531000</v>
      </c>
    </row>
    <row r="399" spans="1:11">
      <c r="A399" t="s">
        <v>487</v>
      </c>
      <c r="B399" s="2">
        <v>45011</v>
      </c>
      <c r="C399" t="s">
        <v>108</v>
      </c>
      <c r="D399" t="s">
        <v>56</v>
      </c>
      <c r="E399" t="s">
        <v>57</v>
      </c>
      <c r="F399" t="s">
        <v>12</v>
      </c>
      <c r="G399">
        <v>1</v>
      </c>
      <c r="H399">
        <v>105000</v>
      </c>
      <c r="I399">
        <v>15</v>
      </c>
      <c r="J399" t="s">
        <v>21</v>
      </c>
      <c r="K399" s="14">
        <f t="shared" si="6"/>
        <v>89250</v>
      </c>
    </row>
    <row r="400" spans="1:11">
      <c r="A400" t="s">
        <v>488</v>
      </c>
      <c r="B400" s="2">
        <v>45185</v>
      </c>
      <c r="C400" t="s">
        <v>60</v>
      </c>
      <c r="D400" t="s">
        <v>61</v>
      </c>
      <c r="E400" t="s">
        <v>20</v>
      </c>
      <c r="F400" t="s">
        <v>62</v>
      </c>
      <c r="G400">
        <v>1</v>
      </c>
      <c r="H400">
        <v>260000</v>
      </c>
      <c r="I400">
        <v>0</v>
      </c>
      <c r="J400" t="s">
        <v>16</v>
      </c>
      <c r="K400" s="14">
        <f t="shared" si="6"/>
        <v>260000</v>
      </c>
    </row>
    <row r="401" spans="1:11">
      <c r="A401" t="s">
        <v>489</v>
      </c>
      <c r="B401" s="2">
        <v>45075</v>
      </c>
      <c r="C401" t="s">
        <v>27</v>
      </c>
      <c r="D401" t="s">
        <v>28</v>
      </c>
      <c r="E401" t="s">
        <v>29</v>
      </c>
      <c r="F401" t="s">
        <v>12</v>
      </c>
      <c r="G401">
        <v>1</v>
      </c>
      <c r="H401">
        <v>210000</v>
      </c>
      <c r="I401">
        <v>5</v>
      </c>
      <c r="J401" t="s">
        <v>21</v>
      </c>
      <c r="K401" s="14">
        <f t="shared" si="6"/>
        <v>199500</v>
      </c>
    </row>
    <row r="402" spans="1:11">
      <c r="A402" t="s">
        <v>490</v>
      </c>
      <c r="B402" s="2">
        <v>45138</v>
      </c>
      <c r="C402" t="s">
        <v>153</v>
      </c>
      <c r="D402" t="s">
        <v>83</v>
      </c>
      <c r="E402" t="s">
        <v>84</v>
      </c>
      <c r="F402" t="s">
        <v>12</v>
      </c>
      <c r="G402">
        <v>1</v>
      </c>
      <c r="H402">
        <v>395000</v>
      </c>
      <c r="I402">
        <v>0</v>
      </c>
      <c r="J402" t="s">
        <v>16</v>
      </c>
      <c r="K402" s="14">
        <f t="shared" si="6"/>
        <v>395000</v>
      </c>
    </row>
    <row r="403" spans="1:11">
      <c r="A403" t="s">
        <v>491</v>
      </c>
      <c r="B403" s="2">
        <v>45151</v>
      </c>
      <c r="C403" t="s">
        <v>70</v>
      </c>
      <c r="D403" t="s">
        <v>65</v>
      </c>
      <c r="E403" t="s">
        <v>66</v>
      </c>
      <c r="F403" t="s">
        <v>12</v>
      </c>
      <c r="G403">
        <v>1</v>
      </c>
      <c r="H403">
        <v>295000</v>
      </c>
      <c r="I403">
        <v>20</v>
      </c>
      <c r="J403" t="s">
        <v>41</v>
      </c>
      <c r="K403" s="14">
        <f t="shared" si="6"/>
        <v>236000</v>
      </c>
    </row>
    <row r="404" spans="1:11">
      <c r="A404" t="s">
        <v>492</v>
      </c>
      <c r="B404" s="2">
        <v>44979</v>
      </c>
      <c r="C404" t="s">
        <v>88</v>
      </c>
      <c r="D404" t="s">
        <v>10</v>
      </c>
      <c r="E404" t="s">
        <v>11</v>
      </c>
      <c r="F404" t="s">
        <v>62</v>
      </c>
      <c r="G404">
        <v>1</v>
      </c>
      <c r="H404">
        <v>420000</v>
      </c>
      <c r="I404">
        <v>10</v>
      </c>
      <c r="J404" t="s">
        <v>71</v>
      </c>
      <c r="K404" s="14">
        <f t="shared" si="6"/>
        <v>378000</v>
      </c>
    </row>
    <row r="405" spans="1:11">
      <c r="A405" t="s">
        <v>493</v>
      </c>
      <c r="B405" s="2">
        <v>45071</v>
      </c>
      <c r="C405" t="s">
        <v>60</v>
      </c>
      <c r="D405" t="s">
        <v>61</v>
      </c>
      <c r="E405" t="s">
        <v>20</v>
      </c>
      <c r="F405" t="s">
        <v>62</v>
      </c>
      <c r="G405">
        <v>4</v>
      </c>
      <c r="H405">
        <v>260000</v>
      </c>
      <c r="I405">
        <v>0</v>
      </c>
      <c r="J405" t="s">
        <v>71</v>
      </c>
      <c r="K405" s="14">
        <f t="shared" si="6"/>
        <v>1040000</v>
      </c>
    </row>
    <row r="406" spans="1:11">
      <c r="A406" t="s">
        <v>494</v>
      </c>
      <c r="B406" s="2">
        <v>45070</v>
      </c>
      <c r="C406" t="s">
        <v>82</v>
      </c>
      <c r="D406" t="s">
        <v>83</v>
      </c>
      <c r="E406" t="s">
        <v>84</v>
      </c>
      <c r="F406" t="s">
        <v>68</v>
      </c>
      <c r="G406">
        <v>1</v>
      </c>
      <c r="H406">
        <v>395000</v>
      </c>
      <c r="I406">
        <v>5</v>
      </c>
      <c r="J406" t="s">
        <v>13</v>
      </c>
      <c r="K406" s="14">
        <f t="shared" si="6"/>
        <v>375250</v>
      </c>
    </row>
    <row r="407" spans="1:11">
      <c r="A407" t="s">
        <v>495</v>
      </c>
      <c r="B407" s="2">
        <v>45014</v>
      </c>
      <c r="C407" t="s">
        <v>133</v>
      </c>
      <c r="D407" t="s">
        <v>102</v>
      </c>
      <c r="E407" t="s">
        <v>11</v>
      </c>
      <c r="F407" t="s">
        <v>62</v>
      </c>
      <c r="G407">
        <v>5</v>
      </c>
      <c r="H407">
        <v>430000</v>
      </c>
      <c r="I407">
        <v>10</v>
      </c>
      <c r="J407" t="s">
        <v>71</v>
      </c>
      <c r="K407" s="14">
        <f t="shared" si="6"/>
        <v>1935000</v>
      </c>
    </row>
    <row r="408" spans="1:11">
      <c r="A408" t="s">
        <v>496</v>
      </c>
      <c r="B408" s="2">
        <v>44989</v>
      </c>
      <c r="C408" t="s">
        <v>242</v>
      </c>
      <c r="D408" t="s">
        <v>97</v>
      </c>
      <c r="E408" t="s">
        <v>98</v>
      </c>
      <c r="F408" t="s">
        <v>1268</v>
      </c>
      <c r="G408">
        <v>1</v>
      </c>
      <c r="H408">
        <v>170000</v>
      </c>
      <c r="I408">
        <v>0</v>
      </c>
      <c r="J408" t="s">
        <v>16</v>
      </c>
      <c r="K408" s="14">
        <f t="shared" si="6"/>
        <v>170000</v>
      </c>
    </row>
    <row r="409" spans="1:11">
      <c r="A409" t="s">
        <v>497</v>
      </c>
      <c r="B409" s="2">
        <v>44981</v>
      </c>
      <c r="C409" t="s">
        <v>242</v>
      </c>
      <c r="D409" t="s">
        <v>97</v>
      </c>
      <c r="E409" t="s">
        <v>98</v>
      </c>
      <c r="F409" t="s">
        <v>62</v>
      </c>
      <c r="G409">
        <v>3</v>
      </c>
      <c r="H409">
        <v>170000</v>
      </c>
      <c r="I409">
        <v>10</v>
      </c>
      <c r="J409" t="s">
        <v>1268</v>
      </c>
      <c r="K409" s="14">
        <f t="shared" si="6"/>
        <v>459000</v>
      </c>
    </row>
    <row r="410" spans="1:11">
      <c r="A410" t="s">
        <v>498</v>
      </c>
      <c r="B410" s="2">
        <v>45029</v>
      </c>
      <c r="C410" t="s">
        <v>94</v>
      </c>
      <c r="D410" t="s">
        <v>50</v>
      </c>
      <c r="E410" t="s">
        <v>29</v>
      </c>
      <c r="F410" t="s">
        <v>68</v>
      </c>
      <c r="G410">
        <v>1</v>
      </c>
      <c r="H410">
        <v>220000</v>
      </c>
      <c r="I410">
        <v>10</v>
      </c>
      <c r="J410" t="s">
        <v>16</v>
      </c>
      <c r="K410" s="14">
        <f t="shared" si="6"/>
        <v>198000</v>
      </c>
    </row>
    <row r="411" spans="1:11">
      <c r="A411" t="s">
        <v>499</v>
      </c>
      <c r="B411" s="2">
        <v>45164</v>
      </c>
      <c r="C411" t="s">
        <v>55</v>
      </c>
      <c r="D411" t="s">
        <v>56</v>
      </c>
      <c r="E411" t="s">
        <v>57</v>
      </c>
      <c r="F411" t="s">
        <v>62</v>
      </c>
      <c r="G411">
        <v>1</v>
      </c>
      <c r="H411">
        <v>105000</v>
      </c>
      <c r="I411">
        <v>5</v>
      </c>
      <c r="J411" t="s">
        <v>16</v>
      </c>
      <c r="K411" s="14">
        <f t="shared" si="6"/>
        <v>99750</v>
      </c>
    </row>
    <row r="412" spans="1:11">
      <c r="A412" t="s">
        <v>500</v>
      </c>
      <c r="B412" s="2">
        <v>45050</v>
      </c>
      <c r="C412" t="s">
        <v>144</v>
      </c>
      <c r="D412" t="s">
        <v>142</v>
      </c>
      <c r="E412" t="s">
        <v>66</v>
      </c>
      <c r="F412" t="s">
        <v>12</v>
      </c>
      <c r="G412">
        <v>2</v>
      </c>
      <c r="H412">
        <v>330000</v>
      </c>
      <c r="I412">
        <v>10</v>
      </c>
      <c r="J412" t="s">
        <v>21</v>
      </c>
      <c r="K412" s="14">
        <f t="shared" si="6"/>
        <v>594000</v>
      </c>
    </row>
    <row r="413" spans="1:11">
      <c r="A413" t="s">
        <v>501</v>
      </c>
      <c r="B413" s="2">
        <v>45091</v>
      </c>
      <c r="C413" t="s">
        <v>88</v>
      </c>
      <c r="D413" t="s">
        <v>10</v>
      </c>
      <c r="E413" t="s">
        <v>11</v>
      </c>
      <c r="F413" t="s">
        <v>62</v>
      </c>
      <c r="G413">
        <v>1</v>
      </c>
      <c r="H413">
        <v>420000</v>
      </c>
      <c r="I413">
        <v>10</v>
      </c>
      <c r="J413" t="s">
        <v>21</v>
      </c>
      <c r="K413" s="14">
        <f t="shared" si="6"/>
        <v>378000</v>
      </c>
    </row>
    <row r="414" spans="1:11">
      <c r="A414" t="s">
        <v>502</v>
      </c>
      <c r="B414" s="2">
        <v>45170</v>
      </c>
      <c r="C414" t="s">
        <v>96</v>
      </c>
      <c r="D414" t="s">
        <v>97</v>
      </c>
      <c r="E414" t="s">
        <v>98</v>
      </c>
      <c r="F414" t="s">
        <v>12</v>
      </c>
      <c r="G414">
        <v>1</v>
      </c>
      <c r="H414">
        <v>170000</v>
      </c>
      <c r="I414">
        <v>0</v>
      </c>
      <c r="J414" t="s">
        <v>16</v>
      </c>
      <c r="K414" s="14">
        <f t="shared" si="6"/>
        <v>170000</v>
      </c>
    </row>
    <row r="415" spans="1:11">
      <c r="A415" t="s">
        <v>503</v>
      </c>
      <c r="B415" s="2">
        <v>45004</v>
      </c>
      <c r="C415" t="s">
        <v>15</v>
      </c>
      <c r="D415" t="s">
        <v>10</v>
      </c>
      <c r="E415" t="s">
        <v>11</v>
      </c>
      <c r="F415" t="s">
        <v>68</v>
      </c>
      <c r="G415">
        <v>1</v>
      </c>
      <c r="H415">
        <v>420000</v>
      </c>
      <c r="I415">
        <v>0</v>
      </c>
      <c r="J415" t="s">
        <v>16</v>
      </c>
      <c r="K415" s="14">
        <f t="shared" si="6"/>
        <v>420000</v>
      </c>
    </row>
    <row r="416" spans="1:11">
      <c r="A416" t="s">
        <v>504</v>
      </c>
      <c r="B416" s="2">
        <v>45114</v>
      </c>
      <c r="C416" t="s">
        <v>122</v>
      </c>
      <c r="D416" t="s">
        <v>123</v>
      </c>
      <c r="E416" t="s">
        <v>124</v>
      </c>
      <c r="F416" t="s">
        <v>12</v>
      </c>
      <c r="G416">
        <v>2</v>
      </c>
      <c r="H416">
        <v>228000</v>
      </c>
      <c r="I416">
        <v>10</v>
      </c>
      <c r="J416" t="s">
        <v>16</v>
      </c>
      <c r="K416" s="14">
        <f t="shared" si="6"/>
        <v>410400</v>
      </c>
    </row>
    <row r="417" spans="1:11">
      <c r="A417" t="s">
        <v>505</v>
      </c>
      <c r="B417" s="2">
        <v>45141</v>
      </c>
      <c r="C417" t="s">
        <v>60</v>
      </c>
      <c r="D417" t="s">
        <v>61</v>
      </c>
      <c r="E417" t="s">
        <v>20</v>
      </c>
      <c r="F417" t="s">
        <v>62</v>
      </c>
      <c r="G417">
        <v>1</v>
      </c>
      <c r="H417">
        <v>260000</v>
      </c>
      <c r="I417">
        <v>0</v>
      </c>
      <c r="J417" t="s">
        <v>16</v>
      </c>
      <c r="K417" s="14">
        <f t="shared" si="6"/>
        <v>260000</v>
      </c>
    </row>
    <row r="418" spans="1:11">
      <c r="A418" t="s">
        <v>506</v>
      </c>
      <c r="B418" s="2">
        <v>45172</v>
      </c>
      <c r="C418" t="s">
        <v>38</v>
      </c>
      <c r="D418" t="s">
        <v>39</v>
      </c>
      <c r="E418" t="s">
        <v>40</v>
      </c>
      <c r="F418" t="s">
        <v>12</v>
      </c>
      <c r="G418">
        <v>1</v>
      </c>
      <c r="H418">
        <v>320000</v>
      </c>
      <c r="I418">
        <v>0</v>
      </c>
      <c r="J418" t="s">
        <v>16</v>
      </c>
      <c r="K418" s="14">
        <f t="shared" si="6"/>
        <v>320000</v>
      </c>
    </row>
    <row r="419" spans="1:11">
      <c r="A419" t="s">
        <v>507</v>
      </c>
      <c r="B419" s="2">
        <v>45254</v>
      </c>
      <c r="C419" t="s">
        <v>96</v>
      </c>
      <c r="D419" t="s">
        <v>97</v>
      </c>
      <c r="E419" t="s">
        <v>98</v>
      </c>
      <c r="F419" t="s">
        <v>12</v>
      </c>
      <c r="G419">
        <v>3</v>
      </c>
      <c r="H419">
        <v>170000</v>
      </c>
      <c r="I419">
        <v>0</v>
      </c>
      <c r="J419" t="s">
        <v>71</v>
      </c>
      <c r="K419" s="14">
        <f t="shared" si="6"/>
        <v>510000</v>
      </c>
    </row>
    <row r="420" spans="1:11">
      <c r="A420" t="s">
        <v>508</v>
      </c>
      <c r="B420" s="2">
        <v>44937</v>
      </c>
      <c r="C420" t="s">
        <v>108</v>
      </c>
      <c r="D420" t="s">
        <v>56</v>
      </c>
      <c r="E420" t="s">
        <v>57</v>
      </c>
      <c r="F420" t="s">
        <v>1268</v>
      </c>
      <c r="G420">
        <v>4</v>
      </c>
      <c r="H420">
        <v>105000</v>
      </c>
      <c r="I420">
        <v>0</v>
      </c>
      <c r="J420" t="s">
        <v>16</v>
      </c>
      <c r="K420" s="14">
        <f t="shared" si="6"/>
        <v>420000</v>
      </c>
    </row>
    <row r="421" spans="1:11">
      <c r="A421" t="s">
        <v>509</v>
      </c>
      <c r="B421" s="2">
        <v>44996</v>
      </c>
      <c r="C421" t="s">
        <v>228</v>
      </c>
      <c r="D421" t="s">
        <v>50</v>
      </c>
      <c r="E421" t="s">
        <v>29</v>
      </c>
      <c r="F421" t="s">
        <v>12</v>
      </c>
      <c r="G421">
        <v>2</v>
      </c>
      <c r="H421">
        <v>220000</v>
      </c>
      <c r="I421">
        <v>0</v>
      </c>
      <c r="J421" t="s">
        <v>71</v>
      </c>
      <c r="K421" s="14">
        <f t="shared" si="6"/>
        <v>440000</v>
      </c>
    </row>
    <row r="422" spans="1:11">
      <c r="A422" t="s">
        <v>510</v>
      </c>
      <c r="B422" s="2">
        <v>45128</v>
      </c>
      <c r="C422" t="s">
        <v>242</v>
      </c>
      <c r="D422" t="s">
        <v>97</v>
      </c>
      <c r="E422" t="s">
        <v>98</v>
      </c>
      <c r="F422" t="s">
        <v>1268</v>
      </c>
      <c r="G422">
        <v>3</v>
      </c>
      <c r="H422">
        <v>170000</v>
      </c>
      <c r="I422">
        <v>5</v>
      </c>
      <c r="J422" t="s">
        <v>21</v>
      </c>
      <c r="K422" s="14">
        <f t="shared" si="6"/>
        <v>484500</v>
      </c>
    </row>
    <row r="423" spans="1:11">
      <c r="A423" t="s">
        <v>511</v>
      </c>
      <c r="B423" s="2">
        <v>45260</v>
      </c>
      <c r="C423" t="s">
        <v>94</v>
      </c>
      <c r="D423" t="s">
        <v>50</v>
      </c>
      <c r="E423" t="s">
        <v>29</v>
      </c>
      <c r="F423" t="s">
        <v>68</v>
      </c>
      <c r="G423">
        <v>2</v>
      </c>
      <c r="H423">
        <v>220000</v>
      </c>
      <c r="I423">
        <v>0</v>
      </c>
      <c r="J423" t="s">
        <v>16</v>
      </c>
      <c r="K423" s="14">
        <f t="shared" si="6"/>
        <v>440000</v>
      </c>
    </row>
    <row r="424" spans="1:11">
      <c r="A424" t="s">
        <v>512</v>
      </c>
      <c r="B424" s="2">
        <v>45069</v>
      </c>
      <c r="C424" t="s">
        <v>49</v>
      </c>
      <c r="D424" t="s">
        <v>50</v>
      </c>
      <c r="E424" t="s">
        <v>29</v>
      </c>
      <c r="F424" t="s">
        <v>62</v>
      </c>
      <c r="G424">
        <v>5</v>
      </c>
      <c r="H424">
        <v>220000</v>
      </c>
      <c r="I424">
        <v>0</v>
      </c>
      <c r="J424" t="s">
        <v>16</v>
      </c>
      <c r="K424" s="14">
        <f t="shared" si="6"/>
        <v>1100000</v>
      </c>
    </row>
    <row r="425" spans="1:11">
      <c r="A425" t="s">
        <v>513</v>
      </c>
      <c r="B425" s="2">
        <v>44990</v>
      </c>
      <c r="C425" t="s">
        <v>64</v>
      </c>
      <c r="D425" t="s">
        <v>65</v>
      </c>
      <c r="E425" t="s">
        <v>66</v>
      </c>
      <c r="F425" t="s">
        <v>62</v>
      </c>
      <c r="G425">
        <v>3</v>
      </c>
      <c r="H425">
        <v>295000</v>
      </c>
      <c r="I425">
        <v>0</v>
      </c>
      <c r="J425" t="s">
        <v>16</v>
      </c>
      <c r="K425" s="14">
        <f t="shared" si="6"/>
        <v>885000</v>
      </c>
    </row>
    <row r="426" spans="1:11">
      <c r="A426" t="s">
        <v>514</v>
      </c>
      <c r="B426" s="2">
        <v>45172</v>
      </c>
      <c r="C426" t="s">
        <v>70</v>
      </c>
      <c r="D426" t="s">
        <v>65</v>
      </c>
      <c r="E426" t="s">
        <v>66</v>
      </c>
      <c r="F426" t="s">
        <v>12</v>
      </c>
      <c r="G426">
        <v>2</v>
      </c>
      <c r="H426">
        <v>295000</v>
      </c>
      <c r="I426">
        <v>0</v>
      </c>
      <c r="J426" t="s">
        <v>16</v>
      </c>
      <c r="K426" s="14">
        <f t="shared" si="6"/>
        <v>590000</v>
      </c>
    </row>
    <row r="427" spans="1:11">
      <c r="A427" t="s">
        <v>515</v>
      </c>
      <c r="B427" s="2">
        <v>45217</v>
      </c>
      <c r="C427" t="s">
        <v>173</v>
      </c>
      <c r="D427" t="s">
        <v>39</v>
      </c>
      <c r="E427" t="s">
        <v>40</v>
      </c>
      <c r="F427" t="s">
        <v>68</v>
      </c>
      <c r="G427">
        <v>2</v>
      </c>
      <c r="H427">
        <v>320000</v>
      </c>
      <c r="I427">
        <v>15</v>
      </c>
      <c r="J427" t="s">
        <v>16</v>
      </c>
      <c r="K427" s="14">
        <f t="shared" si="6"/>
        <v>544000</v>
      </c>
    </row>
    <row r="428" spans="1:11">
      <c r="A428" t="s">
        <v>516</v>
      </c>
      <c r="B428" s="2">
        <v>45169</v>
      </c>
      <c r="C428" t="s">
        <v>96</v>
      </c>
      <c r="D428" t="s">
        <v>97</v>
      </c>
      <c r="E428" t="s">
        <v>98</v>
      </c>
      <c r="F428" t="s">
        <v>12</v>
      </c>
      <c r="G428">
        <v>5</v>
      </c>
      <c r="H428">
        <v>170000</v>
      </c>
      <c r="I428">
        <v>0</v>
      </c>
      <c r="J428" t="s">
        <v>16</v>
      </c>
      <c r="K428" s="14">
        <f t="shared" si="6"/>
        <v>850000</v>
      </c>
    </row>
    <row r="429" spans="1:11">
      <c r="A429" t="s">
        <v>517</v>
      </c>
      <c r="B429" s="2">
        <v>44966</v>
      </c>
      <c r="C429" t="s">
        <v>55</v>
      </c>
      <c r="D429" t="s">
        <v>56</v>
      </c>
      <c r="E429" t="s">
        <v>57</v>
      </c>
      <c r="F429" t="s">
        <v>62</v>
      </c>
      <c r="G429">
        <v>1</v>
      </c>
      <c r="H429">
        <v>105000</v>
      </c>
      <c r="I429">
        <v>0</v>
      </c>
      <c r="J429" t="s">
        <v>21</v>
      </c>
      <c r="K429" s="14">
        <f t="shared" si="6"/>
        <v>105000</v>
      </c>
    </row>
    <row r="430" spans="1:11">
      <c r="A430" t="s">
        <v>518</v>
      </c>
      <c r="B430" s="2">
        <v>45146</v>
      </c>
      <c r="C430" t="s">
        <v>82</v>
      </c>
      <c r="D430" t="s">
        <v>83</v>
      </c>
      <c r="E430" t="s">
        <v>84</v>
      </c>
      <c r="F430" t="s">
        <v>68</v>
      </c>
      <c r="G430">
        <v>-2</v>
      </c>
      <c r="H430">
        <v>395000</v>
      </c>
      <c r="I430">
        <v>0</v>
      </c>
      <c r="J430" t="s">
        <v>21</v>
      </c>
      <c r="K430" s="14">
        <f t="shared" si="6"/>
        <v>-790000</v>
      </c>
    </row>
    <row r="431" spans="1:11">
      <c r="A431" t="s">
        <v>519</v>
      </c>
      <c r="B431" s="2">
        <v>45239</v>
      </c>
      <c r="C431" t="s">
        <v>52</v>
      </c>
      <c r="D431" t="s">
        <v>53</v>
      </c>
      <c r="E431" t="s">
        <v>1293</v>
      </c>
      <c r="F431" t="s">
        <v>12</v>
      </c>
      <c r="G431">
        <v>1</v>
      </c>
      <c r="H431">
        <v>195000</v>
      </c>
      <c r="I431">
        <v>0</v>
      </c>
      <c r="J431" t="s">
        <v>16</v>
      </c>
      <c r="K431" s="14">
        <f t="shared" si="6"/>
        <v>195000</v>
      </c>
    </row>
    <row r="432" spans="1:11">
      <c r="A432" t="s">
        <v>520</v>
      </c>
      <c r="B432" s="2">
        <v>45288</v>
      </c>
      <c r="C432" t="s">
        <v>34</v>
      </c>
      <c r="D432" t="s">
        <v>35</v>
      </c>
      <c r="E432" t="s">
        <v>36</v>
      </c>
      <c r="F432" t="s">
        <v>1268</v>
      </c>
      <c r="G432">
        <v>1</v>
      </c>
      <c r="H432">
        <v>198000</v>
      </c>
      <c r="I432">
        <v>0</v>
      </c>
      <c r="J432" t="s">
        <v>1268</v>
      </c>
      <c r="K432" s="14">
        <f t="shared" si="6"/>
        <v>198000</v>
      </c>
    </row>
    <row r="433" spans="1:11">
      <c r="A433" t="s">
        <v>521</v>
      </c>
      <c r="B433" s="2">
        <v>45182</v>
      </c>
      <c r="C433" t="s">
        <v>52</v>
      </c>
      <c r="D433" t="s">
        <v>53</v>
      </c>
      <c r="E433" t="s">
        <v>1293</v>
      </c>
      <c r="F433" t="s">
        <v>1268</v>
      </c>
      <c r="G433">
        <v>3</v>
      </c>
      <c r="H433">
        <v>195000</v>
      </c>
      <c r="I433">
        <v>0</v>
      </c>
      <c r="J433" t="s">
        <v>21</v>
      </c>
      <c r="K433" s="14">
        <f t="shared" si="6"/>
        <v>585000</v>
      </c>
    </row>
    <row r="434" spans="1:11">
      <c r="A434" t="s">
        <v>522</v>
      </c>
      <c r="B434" s="2">
        <v>45247</v>
      </c>
      <c r="C434" t="s">
        <v>119</v>
      </c>
      <c r="D434" t="s">
        <v>120</v>
      </c>
      <c r="E434" t="s">
        <v>11</v>
      </c>
      <c r="F434" t="s">
        <v>68</v>
      </c>
      <c r="G434">
        <v>3</v>
      </c>
      <c r="H434">
        <v>440000</v>
      </c>
      <c r="I434">
        <v>0</v>
      </c>
      <c r="J434" t="s">
        <v>16</v>
      </c>
      <c r="K434" s="14">
        <f t="shared" si="6"/>
        <v>1320000</v>
      </c>
    </row>
    <row r="435" spans="1:11">
      <c r="A435" t="s">
        <v>523</v>
      </c>
      <c r="B435" s="2">
        <v>45189</v>
      </c>
      <c r="C435" t="s">
        <v>27</v>
      </c>
      <c r="D435" t="s">
        <v>28</v>
      </c>
      <c r="E435" t="s">
        <v>29</v>
      </c>
      <c r="F435" t="s">
        <v>12</v>
      </c>
      <c r="G435">
        <v>3</v>
      </c>
      <c r="H435">
        <v>210000</v>
      </c>
      <c r="I435">
        <v>0</v>
      </c>
      <c r="J435" t="s">
        <v>41</v>
      </c>
      <c r="K435" s="14">
        <f t="shared" si="6"/>
        <v>630000</v>
      </c>
    </row>
    <row r="436" spans="1:11">
      <c r="A436" t="s">
        <v>524</v>
      </c>
      <c r="B436" s="2">
        <v>45226</v>
      </c>
      <c r="C436" t="s">
        <v>250</v>
      </c>
      <c r="D436" t="s">
        <v>53</v>
      </c>
      <c r="E436" t="s">
        <v>36</v>
      </c>
      <c r="F436" t="s">
        <v>62</v>
      </c>
      <c r="G436">
        <v>1</v>
      </c>
      <c r="H436">
        <v>195000</v>
      </c>
      <c r="I436">
        <v>0</v>
      </c>
      <c r="J436" t="s">
        <v>71</v>
      </c>
      <c r="K436" s="14">
        <f t="shared" si="6"/>
        <v>195000</v>
      </c>
    </row>
    <row r="437" spans="1:11">
      <c r="A437" t="s">
        <v>525</v>
      </c>
      <c r="B437" s="2">
        <v>45032</v>
      </c>
      <c r="C437" t="s">
        <v>31</v>
      </c>
      <c r="D437" t="s">
        <v>32</v>
      </c>
      <c r="E437" t="s">
        <v>29</v>
      </c>
      <c r="F437" t="s">
        <v>68</v>
      </c>
      <c r="G437">
        <v>1</v>
      </c>
      <c r="H437">
        <v>215000</v>
      </c>
      <c r="I437">
        <v>0</v>
      </c>
      <c r="J437" t="s">
        <v>21</v>
      </c>
      <c r="K437" s="14">
        <f t="shared" si="6"/>
        <v>215000</v>
      </c>
    </row>
    <row r="438" spans="1:11">
      <c r="A438" t="s">
        <v>526</v>
      </c>
      <c r="B438" s="2">
        <v>44972</v>
      </c>
      <c r="C438" t="s">
        <v>31</v>
      </c>
      <c r="D438" t="s">
        <v>32</v>
      </c>
      <c r="E438" t="s">
        <v>29</v>
      </c>
      <c r="F438" t="s">
        <v>68</v>
      </c>
      <c r="G438">
        <v>5</v>
      </c>
      <c r="H438">
        <v>215000</v>
      </c>
      <c r="I438">
        <v>5</v>
      </c>
      <c r="J438" t="s">
        <v>41</v>
      </c>
      <c r="K438" s="14">
        <f t="shared" ref="K438:K499" si="7">G438*H438*(1-I438/100)</f>
        <v>1021250</v>
      </c>
    </row>
    <row r="439" spans="1:11">
      <c r="A439" t="s">
        <v>527</v>
      </c>
      <c r="B439" s="2">
        <v>45274</v>
      </c>
      <c r="C439" t="s">
        <v>31</v>
      </c>
      <c r="D439" t="s">
        <v>32</v>
      </c>
      <c r="E439" t="s">
        <v>29</v>
      </c>
      <c r="F439" t="s">
        <v>68</v>
      </c>
      <c r="G439">
        <v>2</v>
      </c>
      <c r="H439">
        <v>215000</v>
      </c>
      <c r="I439">
        <v>0</v>
      </c>
      <c r="J439" t="s">
        <v>21</v>
      </c>
      <c r="K439" s="14">
        <f t="shared" si="7"/>
        <v>430000</v>
      </c>
    </row>
    <row r="440" spans="1:11">
      <c r="A440" t="s">
        <v>528</v>
      </c>
      <c r="B440" s="2">
        <v>45167</v>
      </c>
      <c r="C440" t="s">
        <v>23</v>
      </c>
      <c r="D440" t="s">
        <v>24</v>
      </c>
      <c r="E440" t="s">
        <v>25</v>
      </c>
      <c r="F440" t="s">
        <v>12</v>
      </c>
      <c r="G440">
        <v>3</v>
      </c>
      <c r="H440">
        <v>182000</v>
      </c>
      <c r="I440">
        <v>0</v>
      </c>
      <c r="J440" t="s">
        <v>16</v>
      </c>
      <c r="K440" s="14">
        <f t="shared" si="7"/>
        <v>546000</v>
      </c>
    </row>
    <row r="441" spans="1:11">
      <c r="A441" t="s">
        <v>529</v>
      </c>
      <c r="B441" s="2">
        <v>45015</v>
      </c>
      <c r="C441" t="s">
        <v>184</v>
      </c>
      <c r="D441" t="s">
        <v>110</v>
      </c>
      <c r="E441" t="s">
        <v>66</v>
      </c>
      <c r="F441" t="s">
        <v>12</v>
      </c>
      <c r="G441">
        <v>1</v>
      </c>
      <c r="H441">
        <v>335000</v>
      </c>
      <c r="I441">
        <v>15</v>
      </c>
      <c r="J441" t="s">
        <v>1268</v>
      </c>
      <c r="K441" s="14">
        <f t="shared" si="7"/>
        <v>284750</v>
      </c>
    </row>
    <row r="442" spans="1:11">
      <c r="A442" t="s">
        <v>530</v>
      </c>
      <c r="B442" s="2">
        <v>45282</v>
      </c>
      <c r="C442" t="s">
        <v>119</v>
      </c>
      <c r="D442" t="s">
        <v>120</v>
      </c>
      <c r="E442" t="s">
        <v>11</v>
      </c>
      <c r="F442" t="s">
        <v>68</v>
      </c>
      <c r="G442">
        <v>-1</v>
      </c>
      <c r="H442">
        <v>440000</v>
      </c>
      <c r="I442">
        <v>10</v>
      </c>
      <c r="J442" t="s">
        <v>16</v>
      </c>
      <c r="K442" s="14">
        <f t="shared" si="7"/>
        <v>-396000</v>
      </c>
    </row>
    <row r="443" spans="1:11">
      <c r="A443" t="s">
        <v>531</v>
      </c>
      <c r="B443" s="2">
        <v>44940</v>
      </c>
      <c r="C443" t="s">
        <v>96</v>
      </c>
      <c r="D443" t="s">
        <v>97</v>
      </c>
      <c r="E443" t="s">
        <v>98</v>
      </c>
      <c r="F443" t="s">
        <v>12</v>
      </c>
      <c r="G443">
        <v>-1</v>
      </c>
      <c r="H443">
        <v>170000</v>
      </c>
      <c r="I443">
        <v>5</v>
      </c>
      <c r="J443" t="s">
        <v>21</v>
      </c>
      <c r="K443" s="14">
        <f t="shared" si="7"/>
        <v>-161500</v>
      </c>
    </row>
    <row r="444" spans="1:11">
      <c r="A444" t="s">
        <v>532</v>
      </c>
      <c r="B444" s="2">
        <v>45281</v>
      </c>
      <c r="C444" t="s">
        <v>153</v>
      </c>
      <c r="D444" t="s">
        <v>83</v>
      </c>
      <c r="E444" t="s">
        <v>84</v>
      </c>
      <c r="F444" t="s">
        <v>12</v>
      </c>
      <c r="G444">
        <v>1</v>
      </c>
      <c r="H444">
        <v>395000</v>
      </c>
      <c r="I444">
        <v>0</v>
      </c>
      <c r="J444" t="s">
        <v>287</v>
      </c>
      <c r="K444" s="14">
        <f t="shared" si="7"/>
        <v>395000</v>
      </c>
    </row>
    <row r="445" spans="1:11">
      <c r="A445" t="s">
        <v>533</v>
      </c>
      <c r="B445" s="2">
        <v>45196</v>
      </c>
      <c r="C445" t="s">
        <v>15</v>
      </c>
      <c r="D445" t="s">
        <v>10</v>
      </c>
      <c r="E445" t="s">
        <v>11</v>
      </c>
      <c r="F445" t="s">
        <v>68</v>
      </c>
      <c r="G445">
        <v>1</v>
      </c>
      <c r="H445">
        <v>420000</v>
      </c>
      <c r="I445">
        <v>0</v>
      </c>
      <c r="J445" t="s">
        <v>41</v>
      </c>
      <c r="K445" s="14">
        <f t="shared" si="7"/>
        <v>420000</v>
      </c>
    </row>
    <row r="446" spans="1:11">
      <c r="A446" t="s">
        <v>534</v>
      </c>
      <c r="B446" s="2">
        <v>45148</v>
      </c>
      <c r="C446" t="s">
        <v>38</v>
      </c>
      <c r="D446" t="s">
        <v>39</v>
      </c>
      <c r="E446" t="s">
        <v>40</v>
      </c>
      <c r="F446" t="s">
        <v>12</v>
      </c>
      <c r="G446">
        <v>1</v>
      </c>
      <c r="H446">
        <v>320000</v>
      </c>
      <c r="I446">
        <v>0</v>
      </c>
      <c r="J446" t="s">
        <v>16</v>
      </c>
      <c r="K446" s="14">
        <f t="shared" si="7"/>
        <v>320000</v>
      </c>
    </row>
    <row r="447" spans="1:11">
      <c r="A447" t="s">
        <v>535</v>
      </c>
      <c r="B447" s="2">
        <v>44960</v>
      </c>
      <c r="C447" t="s">
        <v>139</v>
      </c>
      <c r="D447" t="s">
        <v>61</v>
      </c>
      <c r="E447" t="s">
        <v>20</v>
      </c>
      <c r="F447" t="s">
        <v>12</v>
      </c>
      <c r="G447">
        <v>1</v>
      </c>
      <c r="H447">
        <v>260000</v>
      </c>
      <c r="I447">
        <v>0</v>
      </c>
      <c r="J447" t="s">
        <v>16</v>
      </c>
      <c r="K447" s="14">
        <f t="shared" si="7"/>
        <v>260000</v>
      </c>
    </row>
    <row r="448" spans="1:11">
      <c r="A448" t="s">
        <v>536</v>
      </c>
      <c r="B448" s="2">
        <v>45273</v>
      </c>
      <c r="C448" t="s">
        <v>70</v>
      </c>
      <c r="D448" t="s">
        <v>65</v>
      </c>
      <c r="E448" t="s">
        <v>66</v>
      </c>
      <c r="F448" t="s">
        <v>12</v>
      </c>
      <c r="G448">
        <v>-2</v>
      </c>
      <c r="H448">
        <v>295000</v>
      </c>
      <c r="I448">
        <v>0</v>
      </c>
      <c r="J448" t="s">
        <v>16</v>
      </c>
      <c r="K448" s="14">
        <f t="shared" si="7"/>
        <v>-590000</v>
      </c>
    </row>
    <row r="449" spans="1:11">
      <c r="A449" t="s">
        <v>537</v>
      </c>
      <c r="B449" s="2">
        <v>45262</v>
      </c>
      <c r="C449" t="s">
        <v>88</v>
      </c>
      <c r="D449" t="s">
        <v>10</v>
      </c>
      <c r="E449" t="s">
        <v>11</v>
      </c>
      <c r="F449" t="s">
        <v>62</v>
      </c>
      <c r="G449">
        <v>1</v>
      </c>
      <c r="H449">
        <v>420000</v>
      </c>
      <c r="I449">
        <v>0</v>
      </c>
      <c r="J449" t="s">
        <v>71</v>
      </c>
      <c r="K449" s="14">
        <f t="shared" si="7"/>
        <v>420000</v>
      </c>
    </row>
    <row r="450" spans="1:11">
      <c r="A450" t="s">
        <v>538</v>
      </c>
      <c r="B450" s="2">
        <v>44961</v>
      </c>
      <c r="C450" t="s">
        <v>139</v>
      </c>
      <c r="D450" t="s">
        <v>61</v>
      </c>
      <c r="E450" t="s">
        <v>20</v>
      </c>
      <c r="F450" t="s">
        <v>12</v>
      </c>
      <c r="G450">
        <v>1</v>
      </c>
      <c r="H450">
        <v>260000</v>
      </c>
      <c r="I450">
        <v>10</v>
      </c>
      <c r="J450" t="s">
        <v>21</v>
      </c>
      <c r="K450" s="14">
        <f t="shared" si="7"/>
        <v>234000</v>
      </c>
    </row>
    <row r="451" spans="1:11">
      <c r="A451" t="s">
        <v>539</v>
      </c>
      <c r="B451" s="2">
        <v>45170</v>
      </c>
      <c r="C451" t="s">
        <v>162</v>
      </c>
      <c r="D451" t="s">
        <v>56</v>
      </c>
      <c r="E451" t="s">
        <v>57</v>
      </c>
      <c r="F451" t="s">
        <v>68</v>
      </c>
      <c r="G451">
        <v>1</v>
      </c>
      <c r="H451">
        <v>105000</v>
      </c>
      <c r="I451">
        <v>0</v>
      </c>
      <c r="J451" t="s">
        <v>71</v>
      </c>
      <c r="K451" s="14">
        <f t="shared" si="7"/>
        <v>105000</v>
      </c>
    </row>
    <row r="452" spans="1:11">
      <c r="A452" t="s">
        <v>540</v>
      </c>
      <c r="B452" s="2">
        <v>45183</v>
      </c>
      <c r="C452" t="s">
        <v>119</v>
      </c>
      <c r="D452" t="s">
        <v>120</v>
      </c>
      <c r="E452" t="s">
        <v>11</v>
      </c>
      <c r="F452" t="s">
        <v>68</v>
      </c>
      <c r="G452">
        <v>2</v>
      </c>
      <c r="H452">
        <v>440000</v>
      </c>
      <c r="I452">
        <v>0</v>
      </c>
      <c r="J452" t="s">
        <v>16</v>
      </c>
      <c r="K452" s="14">
        <f t="shared" si="7"/>
        <v>880000</v>
      </c>
    </row>
    <row r="453" spans="1:11">
      <c r="A453" t="s">
        <v>541</v>
      </c>
      <c r="B453" s="2">
        <v>45023</v>
      </c>
      <c r="C453" t="s">
        <v>88</v>
      </c>
      <c r="D453" t="s">
        <v>10</v>
      </c>
      <c r="E453" t="s">
        <v>11</v>
      </c>
      <c r="F453" t="s">
        <v>62</v>
      </c>
      <c r="G453">
        <v>1</v>
      </c>
      <c r="H453">
        <v>420000</v>
      </c>
      <c r="I453">
        <v>0</v>
      </c>
      <c r="J453" t="s">
        <v>71</v>
      </c>
      <c r="K453" s="14">
        <f t="shared" si="7"/>
        <v>420000</v>
      </c>
    </row>
    <row r="454" spans="1:11">
      <c r="A454" t="s">
        <v>542</v>
      </c>
      <c r="B454" s="2">
        <v>45284</v>
      </c>
      <c r="C454" t="s">
        <v>64</v>
      </c>
      <c r="D454" t="s">
        <v>65</v>
      </c>
      <c r="E454" t="s">
        <v>66</v>
      </c>
      <c r="F454" t="s">
        <v>62</v>
      </c>
      <c r="G454">
        <v>1</v>
      </c>
      <c r="H454">
        <v>295000</v>
      </c>
      <c r="I454">
        <v>0</v>
      </c>
      <c r="J454" t="s">
        <v>71</v>
      </c>
      <c r="K454" s="14">
        <f t="shared" si="7"/>
        <v>295000</v>
      </c>
    </row>
    <row r="455" spans="1:11">
      <c r="A455" t="s">
        <v>543</v>
      </c>
      <c r="B455" s="2">
        <v>45229</v>
      </c>
      <c r="C455" t="s">
        <v>34</v>
      </c>
      <c r="D455" t="s">
        <v>35</v>
      </c>
      <c r="E455" t="s">
        <v>36</v>
      </c>
      <c r="F455" t="s">
        <v>12</v>
      </c>
      <c r="G455">
        <v>1</v>
      </c>
      <c r="H455">
        <v>198000</v>
      </c>
      <c r="I455">
        <v>0</v>
      </c>
      <c r="J455" t="s">
        <v>1268</v>
      </c>
      <c r="K455" s="14">
        <f t="shared" si="7"/>
        <v>198000</v>
      </c>
    </row>
    <row r="456" spans="1:11">
      <c r="A456" t="s">
        <v>544</v>
      </c>
      <c r="B456" s="2">
        <v>45098</v>
      </c>
      <c r="C456" t="s">
        <v>64</v>
      </c>
      <c r="D456" t="s">
        <v>65</v>
      </c>
      <c r="E456" t="s">
        <v>66</v>
      </c>
      <c r="F456" t="s">
        <v>62</v>
      </c>
      <c r="G456">
        <v>1</v>
      </c>
      <c r="H456">
        <v>295000</v>
      </c>
      <c r="I456">
        <v>0</v>
      </c>
      <c r="J456" t="s">
        <v>21</v>
      </c>
      <c r="K456" s="14">
        <f t="shared" si="7"/>
        <v>295000</v>
      </c>
    </row>
    <row r="457" spans="1:11">
      <c r="A457" t="s">
        <v>545</v>
      </c>
      <c r="B457" s="2">
        <v>45011</v>
      </c>
      <c r="C457" t="s">
        <v>64</v>
      </c>
      <c r="D457" t="s">
        <v>65</v>
      </c>
      <c r="E457" t="s">
        <v>66</v>
      </c>
      <c r="F457" t="s">
        <v>62</v>
      </c>
      <c r="G457">
        <v>1</v>
      </c>
      <c r="H457">
        <v>295000</v>
      </c>
      <c r="I457">
        <v>0</v>
      </c>
      <c r="J457" t="s">
        <v>16</v>
      </c>
      <c r="K457" s="14">
        <f t="shared" si="7"/>
        <v>295000</v>
      </c>
    </row>
    <row r="458" spans="1:11">
      <c r="A458" t="s">
        <v>546</v>
      </c>
      <c r="B458" s="2">
        <v>45206</v>
      </c>
      <c r="C458" t="s">
        <v>299</v>
      </c>
      <c r="D458" t="s">
        <v>120</v>
      </c>
      <c r="E458" t="s">
        <v>11</v>
      </c>
      <c r="F458" t="s">
        <v>12</v>
      </c>
      <c r="G458">
        <v>2</v>
      </c>
      <c r="H458">
        <v>440000</v>
      </c>
      <c r="I458">
        <v>10</v>
      </c>
      <c r="J458" t="s">
        <v>13</v>
      </c>
      <c r="K458" s="14">
        <f t="shared" si="7"/>
        <v>792000</v>
      </c>
    </row>
    <row r="459" spans="1:11">
      <c r="A459" t="s">
        <v>547</v>
      </c>
      <c r="B459" s="2">
        <v>45230</v>
      </c>
      <c r="C459" t="s">
        <v>49</v>
      </c>
      <c r="D459" t="s">
        <v>50</v>
      </c>
      <c r="E459" t="s">
        <v>29</v>
      </c>
      <c r="F459" t="s">
        <v>62</v>
      </c>
      <c r="G459">
        <v>1</v>
      </c>
      <c r="H459">
        <v>220000</v>
      </c>
      <c r="I459">
        <v>10</v>
      </c>
      <c r="J459" t="s">
        <v>16</v>
      </c>
      <c r="K459" s="14">
        <f t="shared" si="7"/>
        <v>198000</v>
      </c>
    </row>
    <row r="460" spans="1:11">
      <c r="A460" t="s">
        <v>548</v>
      </c>
      <c r="B460" s="2">
        <v>45257</v>
      </c>
      <c r="C460" t="s">
        <v>144</v>
      </c>
      <c r="D460" t="s">
        <v>142</v>
      </c>
      <c r="E460" t="s">
        <v>66</v>
      </c>
      <c r="F460" t="s">
        <v>12</v>
      </c>
      <c r="G460">
        <v>3</v>
      </c>
      <c r="H460">
        <v>330000</v>
      </c>
      <c r="I460">
        <v>20</v>
      </c>
      <c r="J460" t="s">
        <v>16</v>
      </c>
      <c r="K460" s="14">
        <f t="shared" si="7"/>
        <v>792000</v>
      </c>
    </row>
    <row r="461" spans="1:11">
      <c r="A461" t="s">
        <v>549</v>
      </c>
      <c r="B461" s="2">
        <v>45254</v>
      </c>
      <c r="C461" t="s">
        <v>31</v>
      </c>
      <c r="D461" t="s">
        <v>32</v>
      </c>
      <c r="E461" t="s">
        <v>29</v>
      </c>
      <c r="F461" t="s">
        <v>68</v>
      </c>
      <c r="G461">
        <v>2</v>
      </c>
      <c r="H461">
        <v>215000</v>
      </c>
      <c r="I461">
        <v>0</v>
      </c>
      <c r="J461" t="s">
        <v>21</v>
      </c>
      <c r="K461" s="14">
        <f t="shared" si="7"/>
        <v>430000</v>
      </c>
    </row>
    <row r="462" spans="1:11">
      <c r="A462" t="s">
        <v>550</v>
      </c>
      <c r="B462" s="2">
        <v>45136</v>
      </c>
      <c r="C462" t="s">
        <v>52</v>
      </c>
      <c r="D462" t="s">
        <v>53</v>
      </c>
      <c r="E462" t="s">
        <v>1293</v>
      </c>
      <c r="F462" t="s">
        <v>12</v>
      </c>
      <c r="G462">
        <v>3</v>
      </c>
      <c r="H462">
        <v>195000</v>
      </c>
      <c r="I462">
        <v>0</v>
      </c>
      <c r="J462" t="s">
        <v>16</v>
      </c>
      <c r="K462" s="14">
        <f t="shared" si="7"/>
        <v>585000</v>
      </c>
    </row>
    <row r="463" spans="1:11">
      <c r="A463" t="s">
        <v>551</v>
      </c>
      <c r="B463" s="2">
        <v>44950</v>
      </c>
      <c r="C463" t="s">
        <v>64</v>
      </c>
      <c r="D463" t="s">
        <v>65</v>
      </c>
      <c r="E463" t="s">
        <v>66</v>
      </c>
      <c r="F463" t="s">
        <v>62</v>
      </c>
      <c r="G463">
        <v>3</v>
      </c>
      <c r="H463">
        <v>295000</v>
      </c>
      <c r="I463">
        <v>0</v>
      </c>
      <c r="J463" t="s">
        <v>21</v>
      </c>
      <c r="K463" s="14">
        <f t="shared" si="7"/>
        <v>885000</v>
      </c>
    </row>
    <row r="464" spans="1:11">
      <c r="A464" t="s">
        <v>552</v>
      </c>
      <c r="B464" s="2">
        <v>45229</v>
      </c>
      <c r="C464" t="s">
        <v>64</v>
      </c>
      <c r="D464" t="s">
        <v>65</v>
      </c>
      <c r="E464" t="s">
        <v>66</v>
      </c>
      <c r="F464" t="s">
        <v>62</v>
      </c>
      <c r="G464">
        <v>2</v>
      </c>
      <c r="H464">
        <v>295000</v>
      </c>
      <c r="I464">
        <v>0</v>
      </c>
      <c r="J464" t="s">
        <v>1268</v>
      </c>
      <c r="K464" s="14">
        <f t="shared" si="7"/>
        <v>590000</v>
      </c>
    </row>
    <row r="465" spans="1:11">
      <c r="A465" t="s">
        <v>553</v>
      </c>
      <c r="B465" s="2">
        <v>45209</v>
      </c>
      <c r="C465" t="s">
        <v>131</v>
      </c>
      <c r="D465" t="s">
        <v>132</v>
      </c>
      <c r="E465" t="s">
        <v>20</v>
      </c>
      <c r="F465" t="s">
        <v>12</v>
      </c>
      <c r="G465">
        <v>1</v>
      </c>
      <c r="H465">
        <v>280000</v>
      </c>
      <c r="I465">
        <v>0</v>
      </c>
      <c r="J465" t="s">
        <v>16</v>
      </c>
      <c r="K465" s="14">
        <f t="shared" si="7"/>
        <v>280000</v>
      </c>
    </row>
    <row r="466" spans="1:11">
      <c r="A466" t="s">
        <v>554</v>
      </c>
      <c r="B466" s="2">
        <v>44990</v>
      </c>
      <c r="C466" t="s">
        <v>27</v>
      </c>
      <c r="D466" t="s">
        <v>28</v>
      </c>
      <c r="E466" t="s">
        <v>29</v>
      </c>
      <c r="F466" t="s">
        <v>12</v>
      </c>
      <c r="G466">
        <v>2</v>
      </c>
      <c r="H466">
        <v>210000</v>
      </c>
      <c r="I466">
        <v>0</v>
      </c>
      <c r="J466" t="s">
        <v>21</v>
      </c>
      <c r="K466" s="14">
        <f t="shared" si="7"/>
        <v>420000</v>
      </c>
    </row>
    <row r="467" spans="1:11">
      <c r="A467" t="s">
        <v>555</v>
      </c>
      <c r="B467" s="2">
        <v>45007</v>
      </c>
      <c r="C467" t="s">
        <v>18</v>
      </c>
      <c r="D467" t="s">
        <v>19</v>
      </c>
      <c r="E467" t="s">
        <v>20</v>
      </c>
      <c r="F467" t="s">
        <v>12</v>
      </c>
      <c r="G467">
        <v>1</v>
      </c>
      <c r="H467">
        <v>265000</v>
      </c>
      <c r="I467">
        <v>10</v>
      </c>
      <c r="J467" t="s">
        <v>16</v>
      </c>
      <c r="K467" s="14">
        <f t="shared" si="7"/>
        <v>238500</v>
      </c>
    </row>
    <row r="468" spans="1:11">
      <c r="A468" t="s">
        <v>556</v>
      </c>
      <c r="B468" s="2">
        <v>45204</v>
      </c>
      <c r="C468" t="s">
        <v>173</v>
      </c>
      <c r="D468" t="s">
        <v>39</v>
      </c>
      <c r="E468" t="s">
        <v>40</v>
      </c>
      <c r="F468" t="s">
        <v>68</v>
      </c>
      <c r="G468">
        <v>1</v>
      </c>
      <c r="H468">
        <v>320000</v>
      </c>
      <c r="I468">
        <v>0</v>
      </c>
      <c r="J468" t="s">
        <v>41</v>
      </c>
      <c r="K468" s="14">
        <f t="shared" si="7"/>
        <v>320000</v>
      </c>
    </row>
    <row r="469" spans="1:11">
      <c r="A469" t="s">
        <v>557</v>
      </c>
      <c r="B469" s="2">
        <v>45264</v>
      </c>
      <c r="C469" t="s">
        <v>250</v>
      </c>
      <c r="D469" t="s">
        <v>53</v>
      </c>
      <c r="E469" t="s">
        <v>36</v>
      </c>
      <c r="F469" t="s">
        <v>62</v>
      </c>
      <c r="G469">
        <v>2</v>
      </c>
      <c r="H469">
        <v>195000</v>
      </c>
      <c r="I469">
        <v>5</v>
      </c>
      <c r="J469" t="s">
        <v>16</v>
      </c>
      <c r="K469" s="14">
        <f t="shared" si="7"/>
        <v>370500</v>
      </c>
    </row>
    <row r="470" spans="1:11">
      <c r="A470" t="s">
        <v>558</v>
      </c>
      <c r="B470" s="2">
        <v>45237</v>
      </c>
      <c r="C470" t="s">
        <v>88</v>
      </c>
      <c r="D470" t="s">
        <v>10</v>
      </c>
      <c r="E470" t="s">
        <v>11</v>
      </c>
      <c r="F470" t="s">
        <v>62</v>
      </c>
      <c r="G470">
        <v>1</v>
      </c>
      <c r="H470">
        <v>420000</v>
      </c>
      <c r="I470">
        <v>5</v>
      </c>
      <c r="J470" t="s">
        <v>21</v>
      </c>
      <c r="K470" s="14">
        <f t="shared" si="7"/>
        <v>399000</v>
      </c>
    </row>
    <row r="471" spans="1:11">
      <c r="A471" t="s">
        <v>559</v>
      </c>
      <c r="B471" s="2">
        <v>45028</v>
      </c>
      <c r="C471" t="s">
        <v>147</v>
      </c>
      <c r="D471" t="s">
        <v>148</v>
      </c>
      <c r="E471" t="s">
        <v>66</v>
      </c>
      <c r="F471" t="s">
        <v>12</v>
      </c>
      <c r="G471">
        <v>1</v>
      </c>
      <c r="H471">
        <v>305000</v>
      </c>
      <c r="I471">
        <v>5</v>
      </c>
      <c r="J471" t="s">
        <v>16</v>
      </c>
      <c r="K471" s="14">
        <f t="shared" si="7"/>
        <v>289750</v>
      </c>
    </row>
    <row r="472" spans="1:11">
      <c r="A472" t="s">
        <v>560</v>
      </c>
      <c r="B472" s="2">
        <v>45199</v>
      </c>
      <c r="C472" t="s">
        <v>52</v>
      </c>
      <c r="D472" t="s">
        <v>53</v>
      </c>
      <c r="E472" t="s">
        <v>1293</v>
      </c>
      <c r="F472" t="s">
        <v>12</v>
      </c>
      <c r="G472">
        <v>2</v>
      </c>
      <c r="H472">
        <v>195000</v>
      </c>
      <c r="I472">
        <v>20</v>
      </c>
      <c r="J472" t="s">
        <v>71</v>
      </c>
      <c r="K472" s="14">
        <f t="shared" si="7"/>
        <v>312000</v>
      </c>
    </row>
    <row r="473" spans="1:11">
      <c r="A473" t="s">
        <v>561</v>
      </c>
      <c r="B473" s="2">
        <v>44966</v>
      </c>
      <c r="C473" t="s">
        <v>133</v>
      </c>
      <c r="D473" t="s">
        <v>102</v>
      </c>
      <c r="E473" t="s">
        <v>11</v>
      </c>
      <c r="F473" t="s">
        <v>62</v>
      </c>
      <c r="G473">
        <v>1</v>
      </c>
      <c r="H473">
        <v>430000</v>
      </c>
      <c r="I473">
        <v>0</v>
      </c>
      <c r="J473" t="s">
        <v>41</v>
      </c>
      <c r="K473" s="14">
        <f t="shared" si="7"/>
        <v>430000</v>
      </c>
    </row>
    <row r="474" spans="1:11">
      <c r="A474" t="s">
        <v>562</v>
      </c>
      <c r="B474" s="2">
        <v>45120</v>
      </c>
      <c r="C474" t="s">
        <v>46</v>
      </c>
      <c r="D474" t="s">
        <v>44</v>
      </c>
      <c r="E474" t="s">
        <v>1290</v>
      </c>
      <c r="F474" t="s">
        <v>12</v>
      </c>
      <c r="G474">
        <v>2</v>
      </c>
      <c r="H474">
        <v>235000</v>
      </c>
      <c r="I474">
        <v>0</v>
      </c>
      <c r="J474" t="s">
        <v>71</v>
      </c>
      <c r="K474" s="14">
        <f t="shared" si="7"/>
        <v>470000</v>
      </c>
    </row>
    <row r="475" spans="1:11">
      <c r="A475" t="s">
        <v>563</v>
      </c>
      <c r="B475" s="2">
        <v>44948</v>
      </c>
      <c r="C475" t="s">
        <v>162</v>
      </c>
      <c r="D475" t="s">
        <v>56</v>
      </c>
      <c r="E475" t="s">
        <v>57</v>
      </c>
      <c r="F475" t="s">
        <v>68</v>
      </c>
      <c r="G475">
        <v>1</v>
      </c>
      <c r="H475">
        <v>105000</v>
      </c>
      <c r="I475">
        <v>0</v>
      </c>
      <c r="J475" t="s">
        <v>41</v>
      </c>
      <c r="K475" s="14">
        <f t="shared" si="7"/>
        <v>105000</v>
      </c>
    </row>
    <row r="476" spans="1:11">
      <c r="A476" t="s">
        <v>564</v>
      </c>
      <c r="B476" s="2">
        <v>45016</v>
      </c>
      <c r="C476" t="s">
        <v>94</v>
      </c>
      <c r="D476" t="s">
        <v>50</v>
      </c>
      <c r="E476" t="s">
        <v>29</v>
      </c>
      <c r="F476" t="s">
        <v>68</v>
      </c>
      <c r="G476">
        <v>1</v>
      </c>
      <c r="H476">
        <v>220000</v>
      </c>
      <c r="I476">
        <v>0</v>
      </c>
      <c r="J476" t="s">
        <v>41</v>
      </c>
      <c r="K476" s="14">
        <f t="shared" si="7"/>
        <v>220000</v>
      </c>
    </row>
    <row r="477" spans="1:11">
      <c r="A477" t="s">
        <v>565</v>
      </c>
      <c r="B477" s="2">
        <v>45050</v>
      </c>
      <c r="C477" t="s">
        <v>90</v>
      </c>
      <c r="D477" t="s">
        <v>91</v>
      </c>
      <c r="E477" t="s">
        <v>11</v>
      </c>
      <c r="F477" t="s">
        <v>12</v>
      </c>
      <c r="G477">
        <v>2</v>
      </c>
      <c r="H477">
        <v>425000</v>
      </c>
      <c r="I477">
        <v>15</v>
      </c>
      <c r="J477" t="s">
        <v>16</v>
      </c>
      <c r="K477" s="14">
        <f t="shared" si="7"/>
        <v>722500</v>
      </c>
    </row>
    <row r="478" spans="1:11">
      <c r="A478" t="s">
        <v>566</v>
      </c>
      <c r="B478" s="2">
        <v>45206</v>
      </c>
      <c r="C478" t="s">
        <v>55</v>
      </c>
      <c r="D478" t="s">
        <v>56</v>
      </c>
      <c r="E478" t="s">
        <v>57</v>
      </c>
      <c r="F478" t="s">
        <v>1268</v>
      </c>
      <c r="G478">
        <v>2</v>
      </c>
      <c r="H478">
        <v>105000</v>
      </c>
      <c r="I478">
        <v>0</v>
      </c>
      <c r="J478" t="s">
        <v>21</v>
      </c>
      <c r="K478" s="14">
        <f t="shared" si="7"/>
        <v>210000</v>
      </c>
    </row>
    <row r="479" spans="1:11">
      <c r="A479" t="s">
        <v>567</v>
      </c>
      <c r="B479" s="2">
        <v>45284</v>
      </c>
      <c r="C479" t="s">
        <v>147</v>
      </c>
      <c r="D479" t="s">
        <v>148</v>
      </c>
      <c r="E479" t="s">
        <v>66</v>
      </c>
      <c r="F479" t="s">
        <v>12</v>
      </c>
      <c r="G479">
        <v>4</v>
      </c>
      <c r="H479">
        <v>305000</v>
      </c>
      <c r="I479">
        <v>20</v>
      </c>
      <c r="J479" t="s">
        <v>16</v>
      </c>
      <c r="K479" s="14">
        <f t="shared" si="7"/>
        <v>976000</v>
      </c>
    </row>
    <row r="480" spans="1:11">
      <c r="A480" t="s">
        <v>568</v>
      </c>
      <c r="B480" s="2">
        <v>45081</v>
      </c>
      <c r="C480" t="s">
        <v>15</v>
      </c>
      <c r="D480" t="s">
        <v>10</v>
      </c>
      <c r="E480" t="s">
        <v>11</v>
      </c>
      <c r="F480" t="s">
        <v>68</v>
      </c>
      <c r="G480">
        <v>3</v>
      </c>
      <c r="H480">
        <v>420000</v>
      </c>
      <c r="I480">
        <v>0</v>
      </c>
      <c r="J480" t="s">
        <v>71</v>
      </c>
      <c r="K480" s="14">
        <f t="shared" si="7"/>
        <v>1260000</v>
      </c>
    </row>
    <row r="481" spans="1:11">
      <c r="A481" t="s">
        <v>569</v>
      </c>
      <c r="B481" s="2">
        <v>45163</v>
      </c>
      <c r="C481" t="s">
        <v>147</v>
      </c>
      <c r="D481" t="s">
        <v>148</v>
      </c>
      <c r="E481" t="s">
        <v>66</v>
      </c>
      <c r="F481" t="s">
        <v>12</v>
      </c>
      <c r="G481">
        <v>3</v>
      </c>
      <c r="H481">
        <v>305000</v>
      </c>
      <c r="I481">
        <v>0</v>
      </c>
      <c r="J481" t="s">
        <v>21</v>
      </c>
      <c r="K481" s="14">
        <f t="shared" si="7"/>
        <v>915000</v>
      </c>
    </row>
    <row r="482" spans="1:11">
      <c r="A482" t="s">
        <v>570</v>
      </c>
      <c r="B482" s="2">
        <v>45112</v>
      </c>
      <c r="C482" t="s">
        <v>131</v>
      </c>
      <c r="D482" t="s">
        <v>132</v>
      </c>
      <c r="E482" t="s">
        <v>20</v>
      </c>
      <c r="F482" t="s">
        <v>12</v>
      </c>
      <c r="G482">
        <v>1</v>
      </c>
      <c r="H482">
        <v>280000</v>
      </c>
      <c r="I482">
        <v>15</v>
      </c>
      <c r="J482" t="s">
        <v>16</v>
      </c>
      <c r="K482" s="14">
        <f t="shared" si="7"/>
        <v>238000</v>
      </c>
    </row>
    <row r="483" spans="1:11">
      <c r="A483" t="s">
        <v>571</v>
      </c>
      <c r="B483" s="2">
        <v>45159</v>
      </c>
      <c r="C483" t="s">
        <v>122</v>
      </c>
      <c r="D483" t="s">
        <v>123</v>
      </c>
      <c r="E483" t="s">
        <v>124</v>
      </c>
      <c r="F483" t="s">
        <v>12</v>
      </c>
      <c r="G483">
        <v>2</v>
      </c>
      <c r="H483">
        <v>228000</v>
      </c>
      <c r="I483">
        <v>10</v>
      </c>
      <c r="J483" t="s">
        <v>21</v>
      </c>
      <c r="K483" s="14">
        <f t="shared" si="7"/>
        <v>410400</v>
      </c>
    </row>
    <row r="484" spans="1:11">
      <c r="A484" t="s">
        <v>572</v>
      </c>
      <c r="B484" s="2">
        <v>45120</v>
      </c>
      <c r="C484" t="s">
        <v>18</v>
      </c>
      <c r="D484" t="s">
        <v>19</v>
      </c>
      <c r="E484" t="s">
        <v>20</v>
      </c>
      <c r="F484" t="s">
        <v>12</v>
      </c>
      <c r="G484">
        <v>1</v>
      </c>
      <c r="H484">
        <v>265000</v>
      </c>
      <c r="I484">
        <v>0</v>
      </c>
      <c r="J484" t="s">
        <v>21</v>
      </c>
      <c r="K484" s="14">
        <f t="shared" si="7"/>
        <v>265000</v>
      </c>
    </row>
    <row r="485" spans="1:11">
      <c r="A485" t="s">
        <v>573</v>
      </c>
      <c r="B485" s="2">
        <v>45251</v>
      </c>
      <c r="C485" t="s">
        <v>133</v>
      </c>
      <c r="D485" t="s">
        <v>102</v>
      </c>
      <c r="E485" t="s">
        <v>11</v>
      </c>
      <c r="F485" t="s">
        <v>1268</v>
      </c>
      <c r="G485">
        <v>1</v>
      </c>
      <c r="H485">
        <v>430000</v>
      </c>
      <c r="I485">
        <v>5</v>
      </c>
      <c r="J485" t="s">
        <v>16</v>
      </c>
      <c r="K485" s="14">
        <f t="shared" si="7"/>
        <v>408500</v>
      </c>
    </row>
    <row r="486" spans="1:11">
      <c r="A486" t="s">
        <v>574</v>
      </c>
      <c r="B486" s="2">
        <v>44935</v>
      </c>
      <c r="C486" t="s">
        <v>250</v>
      </c>
      <c r="D486" t="s">
        <v>53</v>
      </c>
      <c r="E486" t="s">
        <v>36</v>
      </c>
      <c r="F486" t="s">
        <v>62</v>
      </c>
      <c r="G486">
        <v>2</v>
      </c>
      <c r="H486">
        <v>195000</v>
      </c>
      <c r="I486">
        <v>0</v>
      </c>
      <c r="J486" t="s">
        <v>16</v>
      </c>
      <c r="K486" s="14">
        <f t="shared" si="7"/>
        <v>390000</v>
      </c>
    </row>
    <row r="487" spans="1:11">
      <c r="A487" t="s">
        <v>575</v>
      </c>
      <c r="B487" s="2">
        <v>45136</v>
      </c>
      <c r="C487" t="s">
        <v>173</v>
      </c>
      <c r="D487" t="s">
        <v>39</v>
      </c>
      <c r="E487" t="s">
        <v>40</v>
      </c>
      <c r="F487" t="s">
        <v>68</v>
      </c>
      <c r="G487">
        <v>2</v>
      </c>
      <c r="H487">
        <v>320000</v>
      </c>
      <c r="I487">
        <v>0</v>
      </c>
      <c r="J487" t="s">
        <v>41</v>
      </c>
      <c r="K487" s="14">
        <f t="shared" si="7"/>
        <v>640000</v>
      </c>
    </row>
    <row r="488" spans="1:11">
      <c r="A488" t="s">
        <v>576</v>
      </c>
      <c r="B488" s="2">
        <v>45022</v>
      </c>
      <c r="C488" t="s">
        <v>104</v>
      </c>
      <c r="D488" t="s">
        <v>105</v>
      </c>
      <c r="E488" t="s">
        <v>29</v>
      </c>
      <c r="F488" t="s">
        <v>12</v>
      </c>
      <c r="G488">
        <v>2</v>
      </c>
      <c r="H488">
        <v>210000</v>
      </c>
      <c r="I488">
        <v>5</v>
      </c>
      <c r="J488" t="s">
        <v>71</v>
      </c>
      <c r="K488" s="14">
        <f t="shared" si="7"/>
        <v>399000</v>
      </c>
    </row>
    <row r="489" spans="1:11">
      <c r="A489" t="s">
        <v>577</v>
      </c>
      <c r="B489" s="2">
        <v>45017</v>
      </c>
      <c r="C489" t="s">
        <v>108</v>
      </c>
      <c r="D489" t="s">
        <v>56</v>
      </c>
      <c r="E489" t="s">
        <v>57</v>
      </c>
      <c r="F489" t="s">
        <v>12</v>
      </c>
      <c r="G489">
        <v>2</v>
      </c>
      <c r="H489">
        <v>105000</v>
      </c>
      <c r="I489">
        <v>0</v>
      </c>
      <c r="J489" t="s">
        <v>16</v>
      </c>
      <c r="K489" s="14">
        <f t="shared" si="7"/>
        <v>210000</v>
      </c>
    </row>
    <row r="490" spans="1:11">
      <c r="A490" t="s">
        <v>578</v>
      </c>
      <c r="B490" s="2">
        <v>45107</v>
      </c>
      <c r="C490" t="s">
        <v>119</v>
      </c>
      <c r="D490" t="s">
        <v>120</v>
      </c>
      <c r="E490" t="s">
        <v>11</v>
      </c>
      <c r="F490" t="s">
        <v>68</v>
      </c>
      <c r="G490">
        <v>5</v>
      </c>
      <c r="H490">
        <v>440000</v>
      </c>
      <c r="I490">
        <v>0</v>
      </c>
      <c r="J490" t="s">
        <v>16</v>
      </c>
      <c r="K490" s="14">
        <f t="shared" si="7"/>
        <v>2200000</v>
      </c>
    </row>
    <row r="491" spans="1:11">
      <c r="A491" t="s">
        <v>579</v>
      </c>
      <c r="B491" s="2">
        <v>45230</v>
      </c>
      <c r="C491" t="s">
        <v>82</v>
      </c>
      <c r="D491" t="s">
        <v>83</v>
      </c>
      <c r="E491" t="s">
        <v>84</v>
      </c>
      <c r="F491" t="s">
        <v>68</v>
      </c>
      <c r="G491">
        <v>1</v>
      </c>
      <c r="H491">
        <v>395000</v>
      </c>
      <c r="I491">
        <v>0</v>
      </c>
      <c r="J491" t="s">
        <v>16</v>
      </c>
      <c r="K491" s="14">
        <f t="shared" si="7"/>
        <v>395000</v>
      </c>
    </row>
    <row r="492" spans="1:11">
      <c r="A492" t="s">
        <v>580</v>
      </c>
      <c r="B492" s="2">
        <v>45282</v>
      </c>
      <c r="C492" t="s">
        <v>133</v>
      </c>
      <c r="D492" t="s">
        <v>102</v>
      </c>
      <c r="E492" t="s">
        <v>11</v>
      </c>
      <c r="F492" t="s">
        <v>62</v>
      </c>
      <c r="G492">
        <v>1</v>
      </c>
      <c r="H492">
        <v>430000</v>
      </c>
      <c r="I492">
        <v>0</v>
      </c>
      <c r="J492" t="s">
        <v>1268</v>
      </c>
      <c r="K492" s="14">
        <f t="shared" si="7"/>
        <v>430000</v>
      </c>
    </row>
    <row r="493" spans="1:11">
      <c r="A493" t="s">
        <v>296</v>
      </c>
      <c r="B493" s="2">
        <v>45239</v>
      </c>
      <c r="C493" t="s">
        <v>250</v>
      </c>
      <c r="D493" t="s">
        <v>53</v>
      </c>
      <c r="E493" t="s">
        <v>36</v>
      </c>
      <c r="F493" t="s">
        <v>62</v>
      </c>
      <c r="G493">
        <v>4</v>
      </c>
      <c r="H493">
        <v>195000</v>
      </c>
      <c r="I493">
        <v>15</v>
      </c>
      <c r="J493" t="s">
        <v>16</v>
      </c>
      <c r="K493" s="14">
        <f t="shared" si="7"/>
        <v>663000</v>
      </c>
    </row>
    <row r="494" spans="1:11">
      <c r="A494" t="s">
        <v>581</v>
      </c>
      <c r="B494" s="2">
        <v>45227</v>
      </c>
      <c r="C494" t="s">
        <v>184</v>
      </c>
      <c r="D494" t="s">
        <v>110</v>
      </c>
      <c r="E494" t="s">
        <v>66</v>
      </c>
      <c r="F494" t="s">
        <v>12</v>
      </c>
      <c r="G494">
        <v>2</v>
      </c>
      <c r="H494">
        <v>335000</v>
      </c>
      <c r="I494">
        <v>0</v>
      </c>
      <c r="J494" t="s">
        <v>16</v>
      </c>
      <c r="K494" s="14">
        <f t="shared" si="7"/>
        <v>670000</v>
      </c>
    </row>
    <row r="495" spans="1:11">
      <c r="A495" t="s">
        <v>582</v>
      </c>
      <c r="B495" s="2">
        <v>45042</v>
      </c>
      <c r="C495" t="s">
        <v>101</v>
      </c>
      <c r="D495" t="s">
        <v>102</v>
      </c>
      <c r="E495" t="s">
        <v>11</v>
      </c>
      <c r="F495" t="s">
        <v>12</v>
      </c>
      <c r="G495">
        <v>1</v>
      </c>
      <c r="H495">
        <v>430000</v>
      </c>
      <c r="I495">
        <v>10</v>
      </c>
      <c r="J495" t="s">
        <v>71</v>
      </c>
      <c r="K495" s="14">
        <f t="shared" si="7"/>
        <v>387000</v>
      </c>
    </row>
    <row r="496" spans="1:11">
      <c r="A496" t="s">
        <v>583</v>
      </c>
      <c r="B496" s="2">
        <v>45103</v>
      </c>
      <c r="C496" t="s">
        <v>64</v>
      </c>
      <c r="D496" t="s">
        <v>65</v>
      </c>
      <c r="E496" t="s">
        <v>66</v>
      </c>
      <c r="F496" t="s">
        <v>62</v>
      </c>
      <c r="G496">
        <v>1</v>
      </c>
      <c r="H496">
        <v>295000</v>
      </c>
      <c r="I496">
        <v>0</v>
      </c>
      <c r="J496" t="s">
        <v>41</v>
      </c>
      <c r="K496" s="14">
        <f t="shared" si="7"/>
        <v>295000</v>
      </c>
    </row>
    <row r="497" spans="1:11">
      <c r="A497" t="s">
        <v>584</v>
      </c>
      <c r="B497" s="2">
        <v>45247</v>
      </c>
      <c r="C497" t="s">
        <v>27</v>
      </c>
      <c r="D497" t="s">
        <v>28</v>
      </c>
      <c r="E497" t="s">
        <v>29</v>
      </c>
      <c r="F497" t="s">
        <v>12</v>
      </c>
      <c r="G497">
        <v>1</v>
      </c>
      <c r="H497">
        <v>210000</v>
      </c>
      <c r="I497">
        <v>5</v>
      </c>
      <c r="J497" t="s">
        <v>13</v>
      </c>
      <c r="K497" s="14">
        <f t="shared" si="7"/>
        <v>199500</v>
      </c>
    </row>
    <row r="498" spans="1:11">
      <c r="A498" t="s">
        <v>585</v>
      </c>
      <c r="B498" s="2">
        <v>44959</v>
      </c>
      <c r="C498" t="s">
        <v>90</v>
      </c>
      <c r="D498" t="s">
        <v>91</v>
      </c>
      <c r="E498" t="s">
        <v>11</v>
      </c>
      <c r="F498" t="s">
        <v>12</v>
      </c>
      <c r="G498">
        <v>1</v>
      </c>
      <c r="H498">
        <v>425000</v>
      </c>
      <c r="I498">
        <v>15</v>
      </c>
      <c r="J498" t="s">
        <v>21</v>
      </c>
      <c r="K498" s="14">
        <f t="shared" si="7"/>
        <v>361250</v>
      </c>
    </row>
    <row r="499" spans="1:11">
      <c r="A499" t="s">
        <v>586</v>
      </c>
      <c r="B499" s="2">
        <v>45188</v>
      </c>
      <c r="C499" t="s">
        <v>173</v>
      </c>
      <c r="D499" t="s">
        <v>39</v>
      </c>
      <c r="E499" t="s">
        <v>40</v>
      </c>
      <c r="F499" t="s">
        <v>68</v>
      </c>
      <c r="G499">
        <v>3</v>
      </c>
      <c r="H499">
        <v>320000</v>
      </c>
      <c r="I499">
        <v>10</v>
      </c>
      <c r="J499" t="s">
        <v>41</v>
      </c>
      <c r="K499" s="14">
        <f t="shared" si="7"/>
        <v>864000</v>
      </c>
    </row>
    <row r="500" spans="1:11">
      <c r="A500" t="s">
        <v>587</v>
      </c>
      <c r="B500" s="2">
        <v>45102</v>
      </c>
      <c r="C500" t="s">
        <v>184</v>
      </c>
      <c r="D500" t="s">
        <v>110</v>
      </c>
      <c r="E500" t="s">
        <v>66</v>
      </c>
      <c r="F500" t="s">
        <v>12</v>
      </c>
      <c r="G500">
        <v>1</v>
      </c>
      <c r="H500">
        <v>335000</v>
      </c>
      <c r="I500">
        <v>10</v>
      </c>
      <c r="J500" t="s">
        <v>41</v>
      </c>
      <c r="K500" s="14">
        <f t="shared" ref="K500:K563" si="8">G500*H500*(1-I500/100)</f>
        <v>301500</v>
      </c>
    </row>
    <row r="501" spans="1:11">
      <c r="A501" t="s">
        <v>588</v>
      </c>
      <c r="B501" s="2">
        <v>45056</v>
      </c>
      <c r="C501" t="s">
        <v>299</v>
      </c>
      <c r="D501" t="s">
        <v>120</v>
      </c>
      <c r="E501" t="s">
        <v>11</v>
      </c>
      <c r="F501" t="s">
        <v>12</v>
      </c>
      <c r="G501">
        <v>1</v>
      </c>
      <c r="H501">
        <v>440000</v>
      </c>
      <c r="I501">
        <v>20</v>
      </c>
      <c r="J501" t="s">
        <v>41</v>
      </c>
      <c r="K501" s="14">
        <f t="shared" si="8"/>
        <v>352000</v>
      </c>
    </row>
    <row r="502" spans="1:11">
      <c r="A502" t="s">
        <v>589</v>
      </c>
      <c r="B502" s="2">
        <v>44987</v>
      </c>
      <c r="C502" t="s">
        <v>34</v>
      </c>
      <c r="D502" t="s">
        <v>35</v>
      </c>
      <c r="E502" t="s">
        <v>36</v>
      </c>
      <c r="F502" t="s">
        <v>12</v>
      </c>
      <c r="G502">
        <v>1</v>
      </c>
      <c r="H502">
        <v>198000</v>
      </c>
      <c r="I502">
        <v>0</v>
      </c>
      <c r="J502" t="s">
        <v>1268</v>
      </c>
      <c r="K502" s="14">
        <f t="shared" si="8"/>
        <v>198000</v>
      </c>
    </row>
    <row r="503" spans="1:11">
      <c r="A503" t="s">
        <v>590</v>
      </c>
      <c r="B503" s="2">
        <v>45172</v>
      </c>
      <c r="C503" t="s">
        <v>90</v>
      </c>
      <c r="D503" t="s">
        <v>91</v>
      </c>
      <c r="E503" t="s">
        <v>11</v>
      </c>
      <c r="F503" t="s">
        <v>12</v>
      </c>
      <c r="G503">
        <v>2</v>
      </c>
      <c r="H503">
        <v>425000</v>
      </c>
      <c r="I503">
        <v>5</v>
      </c>
      <c r="J503" t="s">
        <v>16</v>
      </c>
      <c r="K503" s="14">
        <f t="shared" si="8"/>
        <v>807500</v>
      </c>
    </row>
    <row r="504" spans="1:11">
      <c r="A504" t="s">
        <v>591</v>
      </c>
      <c r="B504" s="2">
        <v>45217</v>
      </c>
      <c r="C504" t="s">
        <v>70</v>
      </c>
      <c r="D504" t="s">
        <v>65</v>
      </c>
      <c r="E504" t="s">
        <v>66</v>
      </c>
      <c r="F504" t="s">
        <v>12</v>
      </c>
      <c r="G504">
        <v>1</v>
      </c>
      <c r="H504">
        <v>295000</v>
      </c>
      <c r="I504">
        <v>0</v>
      </c>
      <c r="J504" t="s">
        <v>41</v>
      </c>
      <c r="K504" s="14">
        <f t="shared" si="8"/>
        <v>295000</v>
      </c>
    </row>
    <row r="505" spans="1:11">
      <c r="A505" t="s">
        <v>592</v>
      </c>
      <c r="B505" s="2">
        <v>44929</v>
      </c>
      <c r="C505" t="s">
        <v>215</v>
      </c>
      <c r="D505" t="s">
        <v>10</v>
      </c>
      <c r="E505" t="s">
        <v>11</v>
      </c>
      <c r="F505" t="s">
        <v>12</v>
      </c>
      <c r="G505">
        <v>1</v>
      </c>
      <c r="H505">
        <v>420000</v>
      </c>
      <c r="I505">
        <v>0</v>
      </c>
      <c r="J505" t="s">
        <v>71</v>
      </c>
      <c r="K505" s="14">
        <f t="shared" si="8"/>
        <v>420000</v>
      </c>
    </row>
    <row r="506" spans="1:11">
      <c r="A506" t="s">
        <v>593</v>
      </c>
      <c r="B506" s="2">
        <v>45027</v>
      </c>
      <c r="C506" t="s">
        <v>144</v>
      </c>
      <c r="D506" t="s">
        <v>142</v>
      </c>
      <c r="E506" t="s">
        <v>66</v>
      </c>
      <c r="F506" t="s">
        <v>1268</v>
      </c>
      <c r="G506">
        <v>1</v>
      </c>
      <c r="H506">
        <v>330000</v>
      </c>
      <c r="I506">
        <v>0</v>
      </c>
      <c r="J506" t="s">
        <v>16</v>
      </c>
      <c r="K506" s="14">
        <f t="shared" si="8"/>
        <v>330000</v>
      </c>
    </row>
    <row r="507" spans="1:11">
      <c r="A507" t="s">
        <v>594</v>
      </c>
      <c r="B507" s="2">
        <v>44935</v>
      </c>
      <c r="C507" t="s">
        <v>31</v>
      </c>
      <c r="D507" t="s">
        <v>32</v>
      </c>
      <c r="E507" t="s">
        <v>29</v>
      </c>
      <c r="F507" t="s">
        <v>68</v>
      </c>
      <c r="G507">
        <v>1</v>
      </c>
      <c r="H507">
        <v>215000</v>
      </c>
      <c r="I507">
        <v>0</v>
      </c>
      <c r="J507" t="s">
        <v>16</v>
      </c>
      <c r="K507" s="14">
        <f t="shared" si="8"/>
        <v>215000</v>
      </c>
    </row>
    <row r="508" spans="1:11">
      <c r="A508" t="s">
        <v>595</v>
      </c>
      <c r="B508" s="2">
        <v>45042</v>
      </c>
      <c r="C508" t="s">
        <v>88</v>
      </c>
      <c r="D508" t="s">
        <v>10</v>
      </c>
      <c r="E508" t="s">
        <v>11</v>
      </c>
      <c r="F508" t="s">
        <v>62</v>
      </c>
      <c r="G508">
        <v>1</v>
      </c>
      <c r="H508">
        <v>420000</v>
      </c>
      <c r="I508">
        <v>0</v>
      </c>
      <c r="J508" t="s">
        <v>21</v>
      </c>
      <c r="K508" s="14">
        <f t="shared" si="8"/>
        <v>420000</v>
      </c>
    </row>
    <row r="509" spans="1:11">
      <c r="A509" t="s">
        <v>596</v>
      </c>
      <c r="B509" s="2">
        <v>45260</v>
      </c>
      <c r="C509" t="s">
        <v>139</v>
      </c>
      <c r="D509" t="s">
        <v>61</v>
      </c>
      <c r="E509" t="s">
        <v>20</v>
      </c>
      <c r="F509" t="s">
        <v>1268</v>
      </c>
      <c r="G509">
        <v>4</v>
      </c>
      <c r="H509">
        <v>260000</v>
      </c>
      <c r="I509">
        <v>0</v>
      </c>
      <c r="J509" t="s">
        <v>16</v>
      </c>
      <c r="K509" s="14">
        <f t="shared" si="8"/>
        <v>1040000</v>
      </c>
    </row>
    <row r="510" spans="1:11">
      <c r="A510" t="s">
        <v>597</v>
      </c>
      <c r="B510" s="2">
        <v>44961</v>
      </c>
      <c r="C510" t="s">
        <v>228</v>
      </c>
      <c r="D510" t="s">
        <v>50</v>
      </c>
      <c r="E510" t="s">
        <v>29</v>
      </c>
      <c r="F510" t="s">
        <v>12</v>
      </c>
      <c r="G510">
        <v>1</v>
      </c>
      <c r="H510">
        <v>220000</v>
      </c>
      <c r="I510">
        <v>5</v>
      </c>
      <c r="J510" t="s">
        <v>41</v>
      </c>
      <c r="K510" s="14">
        <f t="shared" si="8"/>
        <v>209000</v>
      </c>
    </row>
    <row r="511" spans="1:11">
      <c r="A511" t="s">
        <v>598</v>
      </c>
      <c r="B511" s="2">
        <v>45249</v>
      </c>
      <c r="C511" t="s">
        <v>101</v>
      </c>
      <c r="D511" t="s">
        <v>102</v>
      </c>
      <c r="E511" t="s">
        <v>11</v>
      </c>
      <c r="F511" t="s">
        <v>1268</v>
      </c>
      <c r="G511">
        <v>5</v>
      </c>
      <c r="H511">
        <v>430000</v>
      </c>
      <c r="I511">
        <v>0</v>
      </c>
      <c r="J511" t="s">
        <v>21</v>
      </c>
      <c r="K511" s="14">
        <f t="shared" si="8"/>
        <v>2150000</v>
      </c>
    </row>
    <row r="512" spans="1:11">
      <c r="A512" t="s">
        <v>599</v>
      </c>
      <c r="B512" s="2">
        <v>45185</v>
      </c>
      <c r="C512" t="s">
        <v>27</v>
      </c>
      <c r="D512" t="s">
        <v>28</v>
      </c>
      <c r="E512" t="s">
        <v>29</v>
      </c>
      <c r="F512" t="s">
        <v>12</v>
      </c>
      <c r="G512">
        <v>2</v>
      </c>
      <c r="H512">
        <v>210000</v>
      </c>
      <c r="I512">
        <v>0</v>
      </c>
      <c r="J512" t="s">
        <v>16</v>
      </c>
      <c r="K512" s="14">
        <f t="shared" si="8"/>
        <v>420000</v>
      </c>
    </row>
    <row r="513" spans="1:11">
      <c r="A513" t="s">
        <v>600</v>
      </c>
      <c r="B513" s="2">
        <v>45075</v>
      </c>
      <c r="C513" t="s">
        <v>60</v>
      </c>
      <c r="D513" t="s">
        <v>61</v>
      </c>
      <c r="E513" t="s">
        <v>20</v>
      </c>
      <c r="F513" t="s">
        <v>62</v>
      </c>
      <c r="G513">
        <v>1</v>
      </c>
      <c r="H513">
        <v>260000</v>
      </c>
      <c r="I513">
        <v>0</v>
      </c>
      <c r="J513" t="s">
        <v>41</v>
      </c>
      <c r="K513" s="14">
        <f t="shared" si="8"/>
        <v>260000</v>
      </c>
    </row>
    <row r="514" spans="1:11">
      <c r="A514" t="s">
        <v>601</v>
      </c>
      <c r="B514" s="2">
        <v>45070</v>
      </c>
      <c r="C514" t="s">
        <v>184</v>
      </c>
      <c r="D514" t="s">
        <v>110</v>
      </c>
      <c r="E514" t="s">
        <v>66</v>
      </c>
      <c r="F514" t="s">
        <v>12</v>
      </c>
      <c r="G514">
        <v>4</v>
      </c>
      <c r="H514">
        <v>335000</v>
      </c>
      <c r="I514">
        <v>0</v>
      </c>
      <c r="J514" t="s">
        <v>16</v>
      </c>
      <c r="K514" s="14">
        <f t="shared" si="8"/>
        <v>1340000</v>
      </c>
    </row>
    <row r="515" spans="1:11">
      <c r="A515" t="s">
        <v>602</v>
      </c>
      <c r="B515" s="2">
        <v>44990</v>
      </c>
      <c r="C515" t="s">
        <v>228</v>
      </c>
      <c r="D515" t="s">
        <v>50</v>
      </c>
      <c r="E515" t="s">
        <v>29</v>
      </c>
      <c r="F515" t="s">
        <v>12</v>
      </c>
      <c r="G515">
        <v>4</v>
      </c>
      <c r="H515">
        <v>220000</v>
      </c>
      <c r="I515">
        <v>0</v>
      </c>
      <c r="J515" t="s">
        <v>1268</v>
      </c>
      <c r="K515" s="14">
        <f t="shared" si="8"/>
        <v>880000</v>
      </c>
    </row>
    <row r="516" spans="1:11">
      <c r="A516" t="s">
        <v>603</v>
      </c>
      <c r="B516" s="2">
        <v>45191</v>
      </c>
      <c r="C516" t="s">
        <v>38</v>
      </c>
      <c r="D516" t="s">
        <v>39</v>
      </c>
      <c r="E516" t="s">
        <v>40</v>
      </c>
      <c r="F516" t="s">
        <v>12</v>
      </c>
      <c r="G516">
        <v>1</v>
      </c>
      <c r="H516">
        <v>320000</v>
      </c>
      <c r="I516">
        <v>5</v>
      </c>
      <c r="J516" t="s">
        <v>71</v>
      </c>
      <c r="K516" s="14">
        <f t="shared" si="8"/>
        <v>304000</v>
      </c>
    </row>
    <row r="517" spans="1:11">
      <c r="A517" t="s">
        <v>604</v>
      </c>
      <c r="B517" s="2">
        <v>45039</v>
      </c>
      <c r="C517" t="s">
        <v>131</v>
      </c>
      <c r="D517" t="s">
        <v>132</v>
      </c>
      <c r="E517" t="s">
        <v>20</v>
      </c>
      <c r="F517" t="s">
        <v>12</v>
      </c>
      <c r="G517">
        <v>1</v>
      </c>
      <c r="H517">
        <v>280000</v>
      </c>
      <c r="I517">
        <v>0</v>
      </c>
      <c r="J517" t="s">
        <v>21</v>
      </c>
      <c r="K517" s="14">
        <f t="shared" si="8"/>
        <v>280000</v>
      </c>
    </row>
    <row r="518" spans="1:11">
      <c r="A518" t="s">
        <v>605</v>
      </c>
      <c r="B518" s="2">
        <v>45001</v>
      </c>
      <c r="C518" t="s">
        <v>88</v>
      </c>
      <c r="D518" t="s">
        <v>10</v>
      </c>
      <c r="E518" t="s">
        <v>11</v>
      </c>
      <c r="F518" t="s">
        <v>62</v>
      </c>
      <c r="G518">
        <v>1</v>
      </c>
      <c r="H518">
        <v>420000</v>
      </c>
      <c r="I518">
        <v>0</v>
      </c>
      <c r="J518" t="s">
        <v>71</v>
      </c>
      <c r="K518" s="14">
        <f t="shared" si="8"/>
        <v>420000</v>
      </c>
    </row>
    <row r="519" spans="1:11">
      <c r="A519" t="s">
        <v>606</v>
      </c>
      <c r="B519" s="2">
        <v>45235</v>
      </c>
      <c r="C519" t="s">
        <v>27</v>
      </c>
      <c r="D519" t="s">
        <v>28</v>
      </c>
      <c r="E519" t="s">
        <v>29</v>
      </c>
      <c r="F519" t="s">
        <v>12</v>
      </c>
      <c r="G519">
        <v>3</v>
      </c>
      <c r="H519">
        <v>210000</v>
      </c>
      <c r="I519">
        <v>0</v>
      </c>
      <c r="J519" t="s">
        <v>41</v>
      </c>
      <c r="K519" s="14">
        <f t="shared" si="8"/>
        <v>630000</v>
      </c>
    </row>
    <row r="520" spans="1:11">
      <c r="A520" t="s">
        <v>607</v>
      </c>
      <c r="B520" s="2">
        <v>45011</v>
      </c>
      <c r="C520" t="s">
        <v>55</v>
      </c>
      <c r="D520" t="s">
        <v>56</v>
      </c>
      <c r="E520" t="s">
        <v>57</v>
      </c>
      <c r="F520" t="s">
        <v>62</v>
      </c>
      <c r="G520">
        <v>2</v>
      </c>
      <c r="H520">
        <v>105000</v>
      </c>
      <c r="I520">
        <v>15</v>
      </c>
      <c r="J520" t="s">
        <v>41</v>
      </c>
      <c r="K520" s="14">
        <f t="shared" si="8"/>
        <v>178500</v>
      </c>
    </row>
    <row r="521" spans="1:11">
      <c r="A521" t="s">
        <v>608</v>
      </c>
      <c r="B521" s="2">
        <v>44946</v>
      </c>
      <c r="C521" t="s">
        <v>27</v>
      </c>
      <c r="D521" t="s">
        <v>28</v>
      </c>
      <c r="E521" t="s">
        <v>29</v>
      </c>
      <c r="F521" t="s">
        <v>1268</v>
      </c>
      <c r="G521">
        <v>3</v>
      </c>
      <c r="H521">
        <v>210000</v>
      </c>
      <c r="I521">
        <v>0</v>
      </c>
      <c r="J521" t="s">
        <v>16</v>
      </c>
      <c r="K521" s="14">
        <f t="shared" si="8"/>
        <v>630000</v>
      </c>
    </row>
    <row r="522" spans="1:11">
      <c r="A522" t="s">
        <v>609</v>
      </c>
      <c r="B522" s="2">
        <v>44951</v>
      </c>
      <c r="C522" t="s">
        <v>96</v>
      </c>
      <c r="D522" t="s">
        <v>97</v>
      </c>
      <c r="E522" t="s">
        <v>98</v>
      </c>
      <c r="F522" t="s">
        <v>12</v>
      </c>
      <c r="G522">
        <v>1</v>
      </c>
      <c r="H522">
        <v>170000</v>
      </c>
      <c r="I522">
        <v>0</v>
      </c>
      <c r="J522" t="s">
        <v>71</v>
      </c>
      <c r="K522" s="14">
        <f t="shared" si="8"/>
        <v>170000</v>
      </c>
    </row>
    <row r="523" spans="1:11">
      <c r="A523" t="s">
        <v>610</v>
      </c>
      <c r="B523" s="2">
        <v>45134</v>
      </c>
      <c r="C523" t="s">
        <v>31</v>
      </c>
      <c r="D523" t="s">
        <v>32</v>
      </c>
      <c r="E523" t="s">
        <v>29</v>
      </c>
      <c r="F523" t="s">
        <v>68</v>
      </c>
      <c r="G523">
        <v>1</v>
      </c>
      <c r="H523">
        <v>215000</v>
      </c>
      <c r="I523">
        <v>0</v>
      </c>
      <c r="J523" t="s">
        <v>71</v>
      </c>
      <c r="K523" s="14">
        <f t="shared" si="8"/>
        <v>215000</v>
      </c>
    </row>
    <row r="524" spans="1:11">
      <c r="A524" t="s">
        <v>611</v>
      </c>
      <c r="B524" s="2">
        <v>45015</v>
      </c>
      <c r="C524" t="s">
        <v>46</v>
      </c>
      <c r="D524" t="s">
        <v>44</v>
      </c>
      <c r="E524" t="s">
        <v>1290</v>
      </c>
      <c r="F524" t="s">
        <v>12</v>
      </c>
      <c r="G524">
        <v>2</v>
      </c>
      <c r="H524">
        <v>235000</v>
      </c>
      <c r="I524">
        <v>0</v>
      </c>
      <c r="J524" t="s">
        <v>21</v>
      </c>
      <c r="K524" s="14">
        <f t="shared" si="8"/>
        <v>470000</v>
      </c>
    </row>
    <row r="525" spans="1:11">
      <c r="A525" t="s">
        <v>612</v>
      </c>
      <c r="B525" s="2">
        <v>45203</v>
      </c>
      <c r="C525" t="s">
        <v>104</v>
      </c>
      <c r="D525" t="s">
        <v>105</v>
      </c>
      <c r="E525" t="s">
        <v>29</v>
      </c>
      <c r="F525" t="s">
        <v>12</v>
      </c>
      <c r="G525">
        <v>3</v>
      </c>
      <c r="H525">
        <v>210000</v>
      </c>
      <c r="I525">
        <v>15</v>
      </c>
      <c r="J525" t="s">
        <v>71</v>
      </c>
      <c r="K525" s="14">
        <f t="shared" si="8"/>
        <v>535500</v>
      </c>
    </row>
    <row r="526" spans="1:11">
      <c r="A526" t="s">
        <v>613</v>
      </c>
      <c r="B526" s="2">
        <v>45217</v>
      </c>
      <c r="C526" t="s">
        <v>119</v>
      </c>
      <c r="D526" t="s">
        <v>120</v>
      </c>
      <c r="E526" t="s">
        <v>11</v>
      </c>
      <c r="F526" t="s">
        <v>68</v>
      </c>
      <c r="G526">
        <v>2</v>
      </c>
      <c r="H526">
        <v>440000</v>
      </c>
      <c r="I526">
        <v>0</v>
      </c>
      <c r="J526" t="s">
        <v>71</v>
      </c>
      <c r="K526" s="14">
        <f t="shared" si="8"/>
        <v>880000</v>
      </c>
    </row>
    <row r="527" spans="1:11">
      <c r="A527" t="s">
        <v>614</v>
      </c>
      <c r="B527" s="2">
        <v>45126</v>
      </c>
      <c r="C527" t="s">
        <v>173</v>
      </c>
      <c r="D527" t="s">
        <v>39</v>
      </c>
      <c r="E527" t="s">
        <v>40</v>
      </c>
      <c r="F527" t="s">
        <v>68</v>
      </c>
      <c r="G527">
        <v>2</v>
      </c>
      <c r="H527">
        <v>320000</v>
      </c>
      <c r="I527">
        <v>0</v>
      </c>
      <c r="J527" t="s">
        <v>16</v>
      </c>
      <c r="K527" s="14">
        <f t="shared" si="8"/>
        <v>640000</v>
      </c>
    </row>
    <row r="528" spans="1:11">
      <c r="A528" t="s">
        <v>615</v>
      </c>
      <c r="B528" s="2">
        <v>45053</v>
      </c>
      <c r="C528" t="s">
        <v>119</v>
      </c>
      <c r="D528" t="s">
        <v>120</v>
      </c>
      <c r="E528" t="s">
        <v>11</v>
      </c>
      <c r="F528" t="s">
        <v>1268</v>
      </c>
      <c r="G528">
        <v>-2</v>
      </c>
      <c r="H528">
        <v>440000</v>
      </c>
      <c r="I528">
        <v>0</v>
      </c>
      <c r="J528" t="s">
        <v>16</v>
      </c>
      <c r="K528" s="14">
        <f t="shared" si="8"/>
        <v>-880000</v>
      </c>
    </row>
    <row r="529" spans="1:11">
      <c r="A529" t="s">
        <v>616</v>
      </c>
      <c r="B529" s="2">
        <v>45000</v>
      </c>
      <c r="C529" t="s">
        <v>162</v>
      </c>
      <c r="D529" t="s">
        <v>56</v>
      </c>
      <c r="E529" t="s">
        <v>57</v>
      </c>
      <c r="F529" t="s">
        <v>68</v>
      </c>
      <c r="G529">
        <v>2</v>
      </c>
      <c r="H529">
        <v>105000</v>
      </c>
      <c r="I529">
        <v>10</v>
      </c>
      <c r="J529" t="s">
        <v>21</v>
      </c>
      <c r="K529" s="14">
        <f t="shared" si="8"/>
        <v>189000</v>
      </c>
    </row>
    <row r="530" spans="1:11">
      <c r="A530" t="s">
        <v>617</v>
      </c>
      <c r="B530" s="2">
        <v>45212</v>
      </c>
      <c r="C530" t="s">
        <v>131</v>
      </c>
      <c r="D530" t="s">
        <v>132</v>
      </c>
      <c r="E530" t="s">
        <v>20</v>
      </c>
      <c r="F530" t="s">
        <v>12</v>
      </c>
      <c r="G530">
        <v>2</v>
      </c>
      <c r="H530">
        <v>280000</v>
      </c>
      <c r="I530">
        <v>0</v>
      </c>
      <c r="J530" t="s">
        <v>1268</v>
      </c>
      <c r="K530" s="14">
        <f t="shared" si="8"/>
        <v>560000</v>
      </c>
    </row>
    <row r="531" spans="1:11">
      <c r="A531" t="s">
        <v>618</v>
      </c>
      <c r="B531" s="2">
        <v>45285</v>
      </c>
      <c r="C531" t="s">
        <v>96</v>
      </c>
      <c r="D531" t="s">
        <v>97</v>
      </c>
      <c r="E531" t="s">
        <v>98</v>
      </c>
      <c r="F531" t="s">
        <v>1268</v>
      </c>
      <c r="G531">
        <v>2</v>
      </c>
      <c r="H531">
        <v>170000</v>
      </c>
      <c r="I531">
        <v>0</v>
      </c>
      <c r="J531" t="s">
        <v>21</v>
      </c>
      <c r="K531" s="14">
        <f t="shared" si="8"/>
        <v>340000</v>
      </c>
    </row>
    <row r="532" spans="1:11">
      <c r="A532" t="s">
        <v>619</v>
      </c>
      <c r="B532" s="2">
        <v>45221</v>
      </c>
      <c r="C532" t="s">
        <v>46</v>
      </c>
      <c r="D532" t="s">
        <v>44</v>
      </c>
      <c r="E532" t="s">
        <v>1290</v>
      </c>
      <c r="F532" t="s">
        <v>12</v>
      </c>
      <c r="G532">
        <v>1</v>
      </c>
      <c r="H532">
        <v>235000</v>
      </c>
      <c r="I532">
        <v>0</v>
      </c>
      <c r="J532" t="s">
        <v>16</v>
      </c>
      <c r="K532" s="14">
        <f t="shared" si="8"/>
        <v>235000</v>
      </c>
    </row>
    <row r="533" spans="1:11">
      <c r="A533" t="s">
        <v>620</v>
      </c>
      <c r="B533" s="2">
        <v>45071</v>
      </c>
      <c r="C533" t="s">
        <v>27</v>
      </c>
      <c r="D533" t="s">
        <v>28</v>
      </c>
      <c r="E533" t="s">
        <v>29</v>
      </c>
      <c r="F533" t="s">
        <v>12</v>
      </c>
      <c r="G533">
        <v>3</v>
      </c>
      <c r="H533">
        <v>210000</v>
      </c>
      <c r="I533">
        <v>0</v>
      </c>
      <c r="J533" t="s">
        <v>71</v>
      </c>
      <c r="K533" s="14">
        <f t="shared" si="8"/>
        <v>630000</v>
      </c>
    </row>
    <row r="534" spans="1:11">
      <c r="A534" t="s">
        <v>621</v>
      </c>
      <c r="B534" s="2">
        <v>45191</v>
      </c>
      <c r="C534" t="s">
        <v>82</v>
      </c>
      <c r="D534" t="s">
        <v>83</v>
      </c>
      <c r="E534" t="s">
        <v>84</v>
      </c>
      <c r="F534" t="s">
        <v>68</v>
      </c>
      <c r="G534">
        <v>4</v>
      </c>
      <c r="H534">
        <v>395000</v>
      </c>
      <c r="I534">
        <v>0</v>
      </c>
      <c r="J534" t="s">
        <v>41</v>
      </c>
      <c r="K534" s="14">
        <f t="shared" si="8"/>
        <v>1580000</v>
      </c>
    </row>
    <row r="535" spans="1:11">
      <c r="A535" t="s">
        <v>622</v>
      </c>
      <c r="B535" s="2">
        <v>45147</v>
      </c>
      <c r="C535" t="s">
        <v>31</v>
      </c>
      <c r="D535" t="s">
        <v>32</v>
      </c>
      <c r="E535" t="s">
        <v>29</v>
      </c>
      <c r="F535" t="s">
        <v>68</v>
      </c>
      <c r="G535">
        <v>3</v>
      </c>
      <c r="H535">
        <v>215000</v>
      </c>
      <c r="I535">
        <v>10</v>
      </c>
      <c r="J535" t="s">
        <v>16</v>
      </c>
      <c r="K535" s="14">
        <f t="shared" si="8"/>
        <v>580500</v>
      </c>
    </row>
    <row r="536" spans="1:11">
      <c r="A536" t="s">
        <v>623</v>
      </c>
      <c r="B536" s="2">
        <v>45141</v>
      </c>
      <c r="C536" t="s">
        <v>162</v>
      </c>
      <c r="D536" t="s">
        <v>56</v>
      </c>
      <c r="E536" t="s">
        <v>57</v>
      </c>
      <c r="F536" t="s">
        <v>68</v>
      </c>
      <c r="G536">
        <v>3</v>
      </c>
      <c r="H536">
        <v>105000</v>
      </c>
      <c r="I536">
        <v>0</v>
      </c>
      <c r="J536" t="s">
        <v>21</v>
      </c>
      <c r="K536" s="14">
        <f t="shared" si="8"/>
        <v>315000</v>
      </c>
    </row>
    <row r="537" spans="1:11">
      <c r="A537" t="s">
        <v>624</v>
      </c>
      <c r="B537" s="2">
        <v>45181</v>
      </c>
      <c r="C537" t="s">
        <v>147</v>
      </c>
      <c r="D537" t="s">
        <v>148</v>
      </c>
      <c r="E537" t="s">
        <v>66</v>
      </c>
      <c r="F537" t="s">
        <v>1268</v>
      </c>
      <c r="G537">
        <v>1</v>
      </c>
      <c r="H537">
        <v>305000</v>
      </c>
      <c r="I537">
        <v>0</v>
      </c>
      <c r="J537" t="s">
        <v>1268</v>
      </c>
      <c r="K537" s="14">
        <f t="shared" si="8"/>
        <v>305000</v>
      </c>
    </row>
    <row r="538" spans="1:11">
      <c r="A538" t="s">
        <v>625</v>
      </c>
      <c r="B538" s="2">
        <v>44931</v>
      </c>
      <c r="C538" t="s">
        <v>90</v>
      </c>
      <c r="D538" t="s">
        <v>91</v>
      </c>
      <c r="E538" t="s">
        <v>11</v>
      </c>
      <c r="F538" t="s">
        <v>12</v>
      </c>
      <c r="G538">
        <v>5</v>
      </c>
      <c r="H538">
        <v>425000</v>
      </c>
      <c r="I538">
        <v>0</v>
      </c>
      <c r="J538" t="s">
        <v>71</v>
      </c>
      <c r="K538" s="14">
        <f t="shared" si="8"/>
        <v>2125000</v>
      </c>
    </row>
    <row r="539" spans="1:11">
      <c r="A539" t="s">
        <v>626</v>
      </c>
      <c r="B539" s="2">
        <v>44930</v>
      </c>
      <c r="C539" t="s">
        <v>147</v>
      </c>
      <c r="D539" t="s">
        <v>148</v>
      </c>
      <c r="E539" t="s">
        <v>66</v>
      </c>
      <c r="F539" t="s">
        <v>12</v>
      </c>
      <c r="G539">
        <v>-3</v>
      </c>
      <c r="H539">
        <v>305000</v>
      </c>
      <c r="I539">
        <v>0</v>
      </c>
      <c r="J539" t="s">
        <v>13</v>
      </c>
      <c r="K539" s="14">
        <f t="shared" si="8"/>
        <v>-915000</v>
      </c>
    </row>
    <row r="540" spans="1:11">
      <c r="A540" t="s">
        <v>627</v>
      </c>
      <c r="B540" s="2">
        <v>44942</v>
      </c>
      <c r="C540" t="s">
        <v>60</v>
      </c>
      <c r="D540" t="s">
        <v>61</v>
      </c>
      <c r="E540" t="s">
        <v>20</v>
      </c>
      <c r="F540" t="s">
        <v>62</v>
      </c>
      <c r="G540">
        <v>3</v>
      </c>
      <c r="H540">
        <v>260000</v>
      </c>
      <c r="I540">
        <v>0</v>
      </c>
      <c r="J540" t="s">
        <v>16</v>
      </c>
      <c r="K540" s="14">
        <f t="shared" si="8"/>
        <v>780000</v>
      </c>
    </row>
    <row r="541" spans="1:11">
      <c r="A541" t="s">
        <v>628</v>
      </c>
      <c r="B541" s="2">
        <v>45262</v>
      </c>
      <c r="C541" t="s">
        <v>153</v>
      </c>
      <c r="D541" t="s">
        <v>83</v>
      </c>
      <c r="E541" t="s">
        <v>84</v>
      </c>
      <c r="F541" t="s">
        <v>12</v>
      </c>
      <c r="G541">
        <v>1</v>
      </c>
      <c r="H541">
        <v>395000</v>
      </c>
      <c r="I541">
        <v>0</v>
      </c>
      <c r="J541" t="s">
        <v>1268</v>
      </c>
      <c r="K541" s="14">
        <f t="shared" si="8"/>
        <v>395000</v>
      </c>
    </row>
    <row r="542" spans="1:11">
      <c r="A542" t="s">
        <v>629</v>
      </c>
      <c r="B542" s="2">
        <v>45174</v>
      </c>
      <c r="C542" t="s">
        <v>242</v>
      </c>
      <c r="D542" t="s">
        <v>97</v>
      </c>
      <c r="E542" t="s">
        <v>98</v>
      </c>
      <c r="F542" t="s">
        <v>62</v>
      </c>
      <c r="G542">
        <v>3</v>
      </c>
      <c r="H542">
        <v>170000</v>
      </c>
      <c r="I542">
        <v>0</v>
      </c>
      <c r="J542" t="s">
        <v>16</v>
      </c>
      <c r="K542" s="14">
        <f t="shared" si="8"/>
        <v>510000</v>
      </c>
    </row>
    <row r="543" spans="1:11">
      <c r="A543" t="s">
        <v>630</v>
      </c>
      <c r="B543" s="2">
        <v>45204</v>
      </c>
      <c r="C543" t="s">
        <v>104</v>
      </c>
      <c r="D543" t="s">
        <v>105</v>
      </c>
      <c r="E543" t="s">
        <v>29</v>
      </c>
      <c r="F543" t="s">
        <v>12</v>
      </c>
      <c r="G543">
        <v>1</v>
      </c>
      <c r="H543">
        <v>210000</v>
      </c>
      <c r="I543">
        <v>0</v>
      </c>
      <c r="J543" t="s">
        <v>71</v>
      </c>
      <c r="K543" s="14">
        <f t="shared" si="8"/>
        <v>210000</v>
      </c>
    </row>
    <row r="544" spans="1:11">
      <c r="A544" t="s">
        <v>631</v>
      </c>
      <c r="B544" s="2">
        <v>45236</v>
      </c>
      <c r="C544" t="s">
        <v>90</v>
      </c>
      <c r="D544" t="s">
        <v>91</v>
      </c>
      <c r="E544" t="s">
        <v>11</v>
      </c>
      <c r="F544" t="s">
        <v>12</v>
      </c>
      <c r="G544">
        <v>2</v>
      </c>
      <c r="H544">
        <v>425000</v>
      </c>
      <c r="I544">
        <v>0</v>
      </c>
      <c r="J544" t="s">
        <v>16</v>
      </c>
      <c r="K544" s="14">
        <f t="shared" si="8"/>
        <v>850000</v>
      </c>
    </row>
    <row r="545" spans="1:11">
      <c r="A545" t="s">
        <v>632</v>
      </c>
      <c r="B545" s="2">
        <v>45277</v>
      </c>
      <c r="C545" t="s">
        <v>144</v>
      </c>
      <c r="D545" t="s">
        <v>142</v>
      </c>
      <c r="E545" t="s">
        <v>66</v>
      </c>
      <c r="F545" t="s">
        <v>12</v>
      </c>
      <c r="G545">
        <v>1</v>
      </c>
      <c r="H545">
        <v>330000</v>
      </c>
      <c r="I545">
        <v>10</v>
      </c>
      <c r="J545" t="s">
        <v>21</v>
      </c>
      <c r="K545" s="14">
        <f t="shared" si="8"/>
        <v>297000</v>
      </c>
    </row>
    <row r="546" spans="1:11">
      <c r="A546" t="s">
        <v>633</v>
      </c>
      <c r="B546" s="2">
        <v>45138</v>
      </c>
      <c r="C546" t="s">
        <v>55</v>
      </c>
      <c r="D546" t="s">
        <v>56</v>
      </c>
      <c r="E546" t="s">
        <v>57</v>
      </c>
      <c r="F546" t="s">
        <v>62</v>
      </c>
      <c r="G546">
        <v>3</v>
      </c>
      <c r="H546">
        <v>105000</v>
      </c>
      <c r="I546">
        <v>10</v>
      </c>
      <c r="J546" t="s">
        <v>71</v>
      </c>
      <c r="K546" s="14">
        <f t="shared" si="8"/>
        <v>283500</v>
      </c>
    </row>
    <row r="547" spans="1:11">
      <c r="A547" t="s">
        <v>634</v>
      </c>
      <c r="B547" s="2">
        <v>44942</v>
      </c>
      <c r="C547" t="s">
        <v>23</v>
      </c>
      <c r="D547" t="s">
        <v>24</v>
      </c>
      <c r="E547" t="s">
        <v>25</v>
      </c>
      <c r="F547" t="s">
        <v>12</v>
      </c>
      <c r="G547">
        <v>1</v>
      </c>
      <c r="H547">
        <v>182000</v>
      </c>
      <c r="I547">
        <v>0</v>
      </c>
      <c r="J547" t="s">
        <v>16</v>
      </c>
      <c r="K547" s="14">
        <f t="shared" si="8"/>
        <v>182000</v>
      </c>
    </row>
    <row r="548" spans="1:11">
      <c r="A548" t="s">
        <v>635</v>
      </c>
      <c r="B548" s="2">
        <v>45120</v>
      </c>
      <c r="C548" t="s">
        <v>131</v>
      </c>
      <c r="D548" t="s">
        <v>132</v>
      </c>
      <c r="E548" t="s">
        <v>20</v>
      </c>
      <c r="F548" t="s">
        <v>12</v>
      </c>
      <c r="G548">
        <v>2</v>
      </c>
      <c r="H548">
        <v>280000</v>
      </c>
      <c r="I548">
        <v>0</v>
      </c>
      <c r="J548" t="s">
        <v>21</v>
      </c>
      <c r="K548" s="14">
        <f t="shared" si="8"/>
        <v>560000</v>
      </c>
    </row>
    <row r="549" spans="1:11">
      <c r="A549" t="s">
        <v>636</v>
      </c>
      <c r="B549" s="2">
        <v>44999</v>
      </c>
      <c r="C549" t="s">
        <v>184</v>
      </c>
      <c r="D549" t="s">
        <v>110</v>
      </c>
      <c r="E549" t="s">
        <v>66</v>
      </c>
      <c r="F549" t="s">
        <v>12</v>
      </c>
      <c r="G549">
        <v>1</v>
      </c>
      <c r="H549">
        <v>335000</v>
      </c>
      <c r="I549">
        <v>0</v>
      </c>
      <c r="J549" t="s">
        <v>13</v>
      </c>
      <c r="K549" s="14">
        <f t="shared" si="8"/>
        <v>335000</v>
      </c>
    </row>
    <row r="550" spans="1:11">
      <c r="A550" t="s">
        <v>637</v>
      </c>
      <c r="B550" s="2">
        <v>45183</v>
      </c>
      <c r="C550" t="s">
        <v>64</v>
      </c>
      <c r="D550" t="s">
        <v>65</v>
      </c>
      <c r="E550" t="s">
        <v>66</v>
      </c>
      <c r="F550" t="s">
        <v>62</v>
      </c>
      <c r="G550">
        <v>1</v>
      </c>
      <c r="H550">
        <v>295000</v>
      </c>
      <c r="I550">
        <v>0</v>
      </c>
      <c r="J550" t="s">
        <v>21</v>
      </c>
      <c r="K550" s="14">
        <f t="shared" si="8"/>
        <v>295000</v>
      </c>
    </row>
    <row r="551" spans="1:11">
      <c r="A551" t="s">
        <v>638</v>
      </c>
      <c r="B551" s="2">
        <v>45111</v>
      </c>
      <c r="C551" t="s">
        <v>94</v>
      </c>
      <c r="D551" t="s">
        <v>50</v>
      </c>
      <c r="E551" t="s">
        <v>29</v>
      </c>
      <c r="F551" t="s">
        <v>68</v>
      </c>
      <c r="G551">
        <v>-2</v>
      </c>
      <c r="H551">
        <v>220000</v>
      </c>
      <c r="I551">
        <v>0</v>
      </c>
      <c r="J551" t="s">
        <v>21</v>
      </c>
      <c r="K551" s="14">
        <f t="shared" si="8"/>
        <v>-440000</v>
      </c>
    </row>
    <row r="552" spans="1:11">
      <c r="A552" t="s">
        <v>639</v>
      </c>
      <c r="B552" s="2">
        <v>45081</v>
      </c>
      <c r="C552" t="s">
        <v>133</v>
      </c>
      <c r="D552" t="s">
        <v>102</v>
      </c>
      <c r="E552" t="s">
        <v>11</v>
      </c>
      <c r="F552" t="s">
        <v>62</v>
      </c>
      <c r="G552">
        <v>1</v>
      </c>
      <c r="H552">
        <v>430000</v>
      </c>
      <c r="I552">
        <v>0</v>
      </c>
      <c r="J552" t="s">
        <v>16</v>
      </c>
      <c r="K552" s="14">
        <f t="shared" si="8"/>
        <v>430000</v>
      </c>
    </row>
    <row r="553" spans="1:11">
      <c r="A553" t="s">
        <v>640</v>
      </c>
      <c r="B553" s="2">
        <v>45154</v>
      </c>
      <c r="C553" t="s">
        <v>38</v>
      </c>
      <c r="D553" t="s">
        <v>39</v>
      </c>
      <c r="E553" t="s">
        <v>40</v>
      </c>
      <c r="F553" t="s">
        <v>12</v>
      </c>
      <c r="G553">
        <v>2</v>
      </c>
      <c r="H553">
        <v>320000</v>
      </c>
      <c r="I553">
        <v>15</v>
      </c>
      <c r="J553" t="s">
        <v>16</v>
      </c>
      <c r="K553" s="14">
        <f t="shared" si="8"/>
        <v>544000</v>
      </c>
    </row>
    <row r="554" spans="1:11">
      <c r="A554" t="s">
        <v>641</v>
      </c>
      <c r="B554" s="2">
        <v>44986</v>
      </c>
      <c r="C554" t="s">
        <v>94</v>
      </c>
      <c r="D554" t="s">
        <v>50</v>
      </c>
      <c r="E554" t="s">
        <v>29</v>
      </c>
      <c r="F554" t="s">
        <v>68</v>
      </c>
      <c r="G554">
        <v>1</v>
      </c>
      <c r="H554">
        <v>220000</v>
      </c>
      <c r="I554">
        <v>5</v>
      </c>
      <c r="J554" t="s">
        <v>71</v>
      </c>
      <c r="K554" s="14">
        <f t="shared" si="8"/>
        <v>209000</v>
      </c>
    </row>
    <row r="555" spans="1:11">
      <c r="A555" t="s">
        <v>642</v>
      </c>
      <c r="B555" s="2">
        <v>45105</v>
      </c>
      <c r="C555" t="s">
        <v>144</v>
      </c>
      <c r="D555" t="s">
        <v>142</v>
      </c>
      <c r="E555" t="s">
        <v>66</v>
      </c>
      <c r="F555" t="s">
        <v>12</v>
      </c>
      <c r="G555">
        <v>2</v>
      </c>
      <c r="H555">
        <v>330000</v>
      </c>
      <c r="I555">
        <v>0</v>
      </c>
      <c r="J555" t="s">
        <v>16</v>
      </c>
      <c r="K555" s="14">
        <f t="shared" si="8"/>
        <v>660000</v>
      </c>
    </row>
    <row r="556" spans="1:11">
      <c r="A556" t="s">
        <v>643</v>
      </c>
      <c r="B556" s="2">
        <v>45175</v>
      </c>
      <c r="C556" t="s">
        <v>228</v>
      </c>
      <c r="D556" t="s">
        <v>50</v>
      </c>
      <c r="E556" t="s">
        <v>29</v>
      </c>
      <c r="F556" t="s">
        <v>12</v>
      </c>
      <c r="G556">
        <v>1</v>
      </c>
      <c r="H556">
        <v>220000</v>
      </c>
      <c r="I556">
        <v>0</v>
      </c>
      <c r="J556" t="s">
        <v>21</v>
      </c>
      <c r="K556" s="14">
        <f t="shared" si="8"/>
        <v>220000</v>
      </c>
    </row>
    <row r="557" spans="1:11">
      <c r="A557" t="s">
        <v>644</v>
      </c>
      <c r="B557" s="2">
        <v>45085</v>
      </c>
      <c r="C557" t="s">
        <v>108</v>
      </c>
      <c r="D557" t="s">
        <v>56</v>
      </c>
      <c r="E557" t="s">
        <v>57</v>
      </c>
      <c r="F557" t="s">
        <v>12</v>
      </c>
      <c r="G557">
        <v>1</v>
      </c>
      <c r="H557">
        <v>105000</v>
      </c>
      <c r="I557">
        <v>5</v>
      </c>
      <c r="J557" t="s">
        <v>21</v>
      </c>
      <c r="K557" s="14">
        <f t="shared" si="8"/>
        <v>99750</v>
      </c>
    </row>
    <row r="558" spans="1:11">
      <c r="A558" t="s">
        <v>645</v>
      </c>
      <c r="B558" s="2">
        <v>45109</v>
      </c>
      <c r="C558" t="s">
        <v>27</v>
      </c>
      <c r="D558" t="s">
        <v>28</v>
      </c>
      <c r="E558" t="s">
        <v>29</v>
      </c>
      <c r="F558" t="s">
        <v>12</v>
      </c>
      <c r="G558">
        <v>1</v>
      </c>
      <c r="H558">
        <v>210000</v>
      </c>
      <c r="I558">
        <v>0</v>
      </c>
      <c r="J558" t="s">
        <v>16</v>
      </c>
      <c r="K558" s="14">
        <f t="shared" si="8"/>
        <v>210000</v>
      </c>
    </row>
    <row r="559" spans="1:11">
      <c r="A559" t="s">
        <v>646</v>
      </c>
      <c r="B559" s="2">
        <v>45091</v>
      </c>
      <c r="C559" t="s">
        <v>94</v>
      </c>
      <c r="D559" t="s">
        <v>50</v>
      </c>
      <c r="E559" t="s">
        <v>29</v>
      </c>
      <c r="F559" t="s">
        <v>68</v>
      </c>
      <c r="G559">
        <v>3</v>
      </c>
      <c r="H559">
        <v>220000</v>
      </c>
      <c r="I559">
        <v>0</v>
      </c>
      <c r="J559" t="s">
        <v>21</v>
      </c>
      <c r="K559" s="14">
        <f t="shared" si="8"/>
        <v>660000</v>
      </c>
    </row>
    <row r="560" spans="1:11">
      <c r="A560" t="s">
        <v>647</v>
      </c>
      <c r="B560" s="2">
        <v>45018</v>
      </c>
      <c r="C560" t="s">
        <v>215</v>
      </c>
      <c r="D560" t="s">
        <v>10</v>
      </c>
      <c r="E560" t="s">
        <v>11</v>
      </c>
      <c r="F560" t="s">
        <v>12</v>
      </c>
      <c r="G560">
        <v>1</v>
      </c>
      <c r="H560">
        <v>420000</v>
      </c>
      <c r="I560">
        <v>0</v>
      </c>
      <c r="J560" t="s">
        <v>71</v>
      </c>
      <c r="K560" s="14">
        <f t="shared" si="8"/>
        <v>420000</v>
      </c>
    </row>
    <row r="561" spans="1:11">
      <c r="A561" t="s">
        <v>648</v>
      </c>
      <c r="B561" s="2">
        <v>45264</v>
      </c>
      <c r="C561" t="s">
        <v>34</v>
      </c>
      <c r="D561" t="s">
        <v>35</v>
      </c>
      <c r="E561" t="s">
        <v>36</v>
      </c>
      <c r="F561" t="s">
        <v>12</v>
      </c>
      <c r="G561">
        <v>1</v>
      </c>
      <c r="H561">
        <v>198000</v>
      </c>
      <c r="I561">
        <v>0</v>
      </c>
      <c r="J561" t="s">
        <v>41</v>
      </c>
      <c r="K561" s="14">
        <f t="shared" si="8"/>
        <v>198000</v>
      </c>
    </row>
    <row r="562" spans="1:11">
      <c r="A562" t="s">
        <v>649</v>
      </c>
      <c r="B562" s="2">
        <v>45175</v>
      </c>
      <c r="C562" t="s">
        <v>70</v>
      </c>
      <c r="D562" t="s">
        <v>65</v>
      </c>
      <c r="E562" t="s">
        <v>66</v>
      </c>
      <c r="F562" t="s">
        <v>12</v>
      </c>
      <c r="G562">
        <v>4</v>
      </c>
      <c r="H562">
        <v>295000</v>
      </c>
      <c r="I562">
        <v>0</v>
      </c>
      <c r="J562" t="s">
        <v>21</v>
      </c>
      <c r="K562" s="14">
        <f t="shared" si="8"/>
        <v>1180000</v>
      </c>
    </row>
    <row r="563" spans="1:11">
      <c r="A563" t="s">
        <v>650</v>
      </c>
      <c r="B563" s="2">
        <v>44999</v>
      </c>
      <c r="C563" t="s">
        <v>184</v>
      </c>
      <c r="D563" t="s">
        <v>110</v>
      </c>
      <c r="E563" t="s">
        <v>66</v>
      </c>
      <c r="F563" t="s">
        <v>12</v>
      </c>
      <c r="G563">
        <v>1</v>
      </c>
      <c r="H563">
        <v>335000</v>
      </c>
      <c r="I563">
        <v>0</v>
      </c>
      <c r="J563" t="s">
        <v>21</v>
      </c>
      <c r="K563" s="14">
        <f t="shared" si="8"/>
        <v>335000</v>
      </c>
    </row>
    <row r="564" spans="1:11">
      <c r="A564" t="s">
        <v>651</v>
      </c>
      <c r="B564" s="2">
        <v>45014</v>
      </c>
      <c r="C564" t="s">
        <v>122</v>
      </c>
      <c r="D564" t="s">
        <v>123</v>
      </c>
      <c r="E564" t="s">
        <v>124</v>
      </c>
      <c r="F564" t="s">
        <v>12</v>
      </c>
      <c r="G564">
        <v>2</v>
      </c>
      <c r="H564">
        <v>228000</v>
      </c>
      <c r="I564">
        <v>0</v>
      </c>
      <c r="J564" t="s">
        <v>16</v>
      </c>
      <c r="K564" s="14">
        <f t="shared" ref="K564:K625" si="9">G564*H564*(1-I564/100)</f>
        <v>456000</v>
      </c>
    </row>
    <row r="565" spans="1:11">
      <c r="A565" t="s">
        <v>652</v>
      </c>
      <c r="B565" s="2">
        <v>45243</v>
      </c>
      <c r="C565" t="s">
        <v>15</v>
      </c>
      <c r="D565" t="s">
        <v>10</v>
      </c>
      <c r="E565" t="s">
        <v>11</v>
      </c>
      <c r="F565" t="s">
        <v>68</v>
      </c>
      <c r="G565">
        <v>1</v>
      </c>
      <c r="H565">
        <v>420000</v>
      </c>
      <c r="I565">
        <v>0</v>
      </c>
      <c r="J565" t="s">
        <v>41</v>
      </c>
      <c r="K565" s="14">
        <f t="shared" si="9"/>
        <v>420000</v>
      </c>
    </row>
    <row r="566" spans="1:11">
      <c r="A566" t="s">
        <v>653</v>
      </c>
      <c r="B566" s="2">
        <v>45265</v>
      </c>
      <c r="C566" t="s">
        <v>75</v>
      </c>
      <c r="D566" t="s">
        <v>32</v>
      </c>
      <c r="E566" t="s">
        <v>29</v>
      </c>
      <c r="F566" t="s">
        <v>12</v>
      </c>
      <c r="G566">
        <v>1</v>
      </c>
      <c r="H566">
        <v>215000</v>
      </c>
      <c r="I566">
        <v>10</v>
      </c>
      <c r="J566" t="s">
        <v>71</v>
      </c>
      <c r="K566" s="14">
        <f t="shared" si="9"/>
        <v>193500</v>
      </c>
    </row>
    <row r="567" spans="1:11">
      <c r="A567" t="s">
        <v>654</v>
      </c>
      <c r="B567" s="2">
        <v>45057</v>
      </c>
      <c r="C567" t="s">
        <v>75</v>
      </c>
      <c r="D567" t="s">
        <v>32</v>
      </c>
      <c r="E567" t="s">
        <v>29</v>
      </c>
      <c r="F567" t="s">
        <v>12</v>
      </c>
      <c r="G567">
        <v>2</v>
      </c>
      <c r="H567">
        <v>215000</v>
      </c>
      <c r="I567">
        <v>0</v>
      </c>
      <c r="J567" t="s">
        <v>21</v>
      </c>
      <c r="K567" s="14">
        <f t="shared" si="9"/>
        <v>430000</v>
      </c>
    </row>
    <row r="568" spans="1:11">
      <c r="A568" t="s">
        <v>655</v>
      </c>
      <c r="B568" s="2">
        <v>45111</v>
      </c>
      <c r="C568" t="s">
        <v>173</v>
      </c>
      <c r="D568" t="s">
        <v>39</v>
      </c>
      <c r="E568" t="s">
        <v>40</v>
      </c>
      <c r="F568" t="s">
        <v>68</v>
      </c>
      <c r="G568">
        <v>2</v>
      </c>
      <c r="H568">
        <v>320000</v>
      </c>
      <c r="I568">
        <v>0</v>
      </c>
      <c r="J568" t="s">
        <v>71</v>
      </c>
      <c r="K568" s="14">
        <f t="shared" si="9"/>
        <v>640000</v>
      </c>
    </row>
    <row r="569" spans="1:11">
      <c r="A569" t="s">
        <v>656</v>
      </c>
      <c r="B569" s="2">
        <v>44943</v>
      </c>
      <c r="C569" t="s">
        <v>43</v>
      </c>
      <c r="D569" t="s">
        <v>44</v>
      </c>
      <c r="E569" t="s">
        <v>29</v>
      </c>
      <c r="F569" t="s">
        <v>68</v>
      </c>
      <c r="G569">
        <v>2</v>
      </c>
      <c r="H569">
        <v>235000</v>
      </c>
      <c r="I569">
        <v>0</v>
      </c>
      <c r="J569" t="s">
        <v>21</v>
      </c>
      <c r="K569" s="14">
        <f t="shared" si="9"/>
        <v>470000</v>
      </c>
    </row>
    <row r="570" spans="1:11">
      <c r="A570" t="s">
        <v>657</v>
      </c>
      <c r="B570" s="2">
        <v>45174</v>
      </c>
      <c r="C570" t="s">
        <v>82</v>
      </c>
      <c r="D570" t="s">
        <v>83</v>
      </c>
      <c r="E570" t="s">
        <v>84</v>
      </c>
      <c r="F570" t="s">
        <v>68</v>
      </c>
      <c r="G570">
        <v>1</v>
      </c>
      <c r="H570">
        <v>395000</v>
      </c>
      <c r="I570">
        <v>0</v>
      </c>
      <c r="J570" t="s">
        <v>21</v>
      </c>
      <c r="K570" s="14">
        <f t="shared" si="9"/>
        <v>395000</v>
      </c>
    </row>
    <row r="571" spans="1:11">
      <c r="A571" t="s">
        <v>658</v>
      </c>
      <c r="B571" s="2">
        <v>44976</v>
      </c>
      <c r="C571" t="s">
        <v>104</v>
      </c>
      <c r="D571" t="s">
        <v>105</v>
      </c>
      <c r="E571" t="s">
        <v>29</v>
      </c>
      <c r="F571" t="s">
        <v>12</v>
      </c>
      <c r="G571">
        <v>1</v>
      </c>
      <c r="H571">
        <v>210000</v>
      </c>
      <c r="I571">
        <v>0</v>
      </c>
      <c r="J571" t="s">
        <v>21</v>
      </c>
      <c r="K571" s="14">
        <f t="shared" si="9"/>
        <v>210000</v>
      </c>
    </row>
    <row r="572" spans="1:11">
      <c r="A572" t="s">
        <v>659</v>
      </c>
      <c r="B572" s="2">
        <v>45267</v>
      </c>
      <c r="C572" t="s">
        <v>119</v>
      </c>
      <c r="D572" t="s">
        <v>120</v>
      </c>
      <c r="E572" t="s">
        <v>11</v>
      </c>
      <c r="F572" t="s">
        <v>68</v>
      </c>
      <c r="G572">
        <v>1</v>
      </c>
      <c r="H572">
        <v>440000</v>
      </c>
      <c r="I572">
        <v>0</v>
      </c>
      <c r="J572" t="s">
        <v>16</v>
      </c>
      <c r="K572" s="14">
        <f t="shared" si="9"/>
        <v>440000</v>
      </c>
    </row>
    <row r="573" spans="1:11">
      <c r="A573" t="s">
        <v>660</v>
      </c>
      <c r="B573" s="2">
        <v>45280</v>
      </c>
      <c r="C573" t="s">
        <v>228</v>
      </c>
      <c r="D573" t="s">
        <v>50</v>
      </c>
      <c r="E573" t="s">
        <v>29</v>
      </c>
      <c r="F573" t="s">
        <v>12</v>
      </c>
      <c r="G573">
        <v>2</v>
      </c>
      <c r="H573">
        <v>220000</v>
      </c>
      <c r="I573">
        <v>15</v>
      </c>
      <c r="J573" t="s">
        <v>41</v>
      </c>
      <c r="K573" s="14">
        <f t="shared" si="9"/>
        <v>374000</v>
      </c>
    </row>
    <row r="574" spans="1:11">
      <c r="A574" t="s">
        <v>661</v>
      </c>
      <c r="B574" s="2">
        <v>45276</v>
      </c>
      <c r="C574" t="s">
        <v>144</v>
      </c>
      <c r="D574" t="s">
        <v>142</v>
      </c>
      <c r="E574" t="s">
        <v>66</v>
      </c>
      <c r="F574" t="s">
        <v>12</v>
      </c>
      <c r="G574">
        <v>2</v>
      </c>
      <c r="H574">
        <v>330000</v>
      </c>
      <c r="I574">
        <v>0</v>
      </c>
      <c r="J574" t="s">
        <v>21</v>
      </c>
      <c r="K574" s="14">
        <f t="shared" si="9"/>
        <v>660000</v>
      </c>
    </row>
    <row r="575" spans="1:11">
      <c r="A575" t="s">
        <v>662</v>
      </c>
      <c r="B575" s="2">
        <v>45173</v>
      </c>
      <c r="C575" t="s">
        <v>60</v>
      </c>
      <c r="D575" t="s">
        <v>61</v>
      </c>
      <c r="E575" t="s">
        <v>20</v>
      </c>
      <c r="F575" t="s">
        <v>62</v>
      </c>
      <c r="G575">
        <v>2</v>
      </c>
      <c r="H575">
        <v>260000</v>
      </c>
      <c r="I575">
        <v>20</v>
      </c>
      <c r="J575" t="s">
        <v>41</v>
      </c>
      <c r="K575" s="14">
        <f t="shared" si="9"/>
        <v>416000</v>
      </c>
    </row>
    <row r="576" spans="1:11">
      <c r="A576" t="s">
        <v>663</v>
      </c>
      <c r="B576" s="2">
        <v>45287</v>
      </c>
      <c r="C576" t="s">
        <v>153</v>
      </c>
      <c r="D576" t="s">
        <v>83</v>
      </c>
      <c r="E576" t="s">
        <v>84</v>
      </c>
      <c r="F576" t="s">
        <v>12</v>
      </c>
      <c r="G576">
        <v>1</v>
      </c>
      <c r="H576">
        <v>395000</v>
      </c>
      <c r="I576">
        <v>0</v>
      </c>
      <c r="J576" t="s">
        <v>41</v>
      </c>
      <c r="K576" s="14">
        <f t="shared" si="9"/>
        <v>395000</v>
      </c>
    </row>
    <row r="577" spans="1:11">
      <c r="A577" t="s">
        <v>664</v>
      </c>
      <c r="B577" s="2">
        <v>45207</v>
      </c>
      <c r="C577" t="s">
        <v>34</v>
      </c>
      <c r="D577" t="s">
        <v>35</v>
      </c>
      <c r="E577" t="s">
        <v>36</v>
      </c>
      <c r="F577" t="s">
        <v>12</v>
      </c>
      <c r="G577">
        <v>1</v>
      </c>
      <c r="H577">
        <v>198000</v>
      </c>
      <c r="I577">
        <v>0</v>
      </c>
      <c r="J577" t="s">
        <v>41</v>
      </c>
      <c r="K577" s="14">
        <f t="shared" si="9"/>
        <v>198000</v>
      </c>
    </row>
    <row r="578" spans="1:11">
      <c r="A578" t="s">
        <v>665</v>
      </c>
      <c r="B578" s="2">
        <v>45165</v>
      </c>
      <c r="C578" t="s">
        <v>104</v>
      </c>
      <c r="D578" t="s">
        <v>105</v>
      </c>
      <c r="E578" t="s">
        <v>29</v>
      </c>
      <c r="F578" t="s">
        <v>12</v>
      </c>
      <c r="G578">
        <v>1</v>
      </c>
      <c r="H578">
        <v>210000</v>
      </c>
      <c r="I578">
        <v>0</v>
      </c>
      <c r="J578" t="s">
        <v>21</v>
      </c>
      <c r="K578" s="14">
        <f t="shared" si="9"/>
        <v>210000</v>
      </c>
    </row>
    <row r="579" spans="1:11">
      <c r="A579" t="s">
        <v>666</v>
      </c>
      <c r="B579" s="2">
        <v>45288</v>
      </c>
      <c r="C579" t="s">
        <v>23</v>
      </c>
      <c r="D579" t="s">
        <v>24</v>
      </c>
      <c r="E579" t="s">
        <v>25</v>
      </c>
      <c r="F579" t="s">
        <v>12</v>
      </c>
      <c r="G579">
        <v>3</v>
      </c>
      <c r="H579">
        <v>182000</v>
      </c>
      <c r="I579">
        <v>5</v>
      </c>
      <c r="J579" t="s">
        <v>71</v>
      </c>
      <c r="K579" s="14">
        <f t="shared" si="9"/>
        <v>518700</v>
      </c>
    </row>
    <row r="580" spans="1:11">
      <c r="A580" t="s">
        <v>667</v>
      </c>
      <c r="B580" s="2">
        <v>45124</v>
      </c>
      <c r="C580" t="s">
        <v>75</v>
      </c>
      <c r="D580" t="s">
        <v>32</v>
      </c>
      <c r="E580" t="s">
        <v>29</v>
      </c>
      <c r="F580" t="s">
        <v>1268</v>
      </c>
      <c r="G580">
        <v>3</v>
      </c>
      <c r="H580">
        <v>215000</v>
      </c>
      <c r="I580">
        <v>5</v>
      </c>
      <c r="J580" t="s">
        <v>71</v>
      </c>
      <c r="K580" s="14">
        <f t="shared" si="9"/>
        <v>612750</v>
      </c>
    </row>
    <row r="581" spans="1:11">
      <c r="A581" t="s">
        <v>668</v>
      </c>
      <c r="B581" s="2">
        <v>45259</v>
      </c>
      <c r="C581" t="s">
        <v>299</v>
      </c>
      <c r="D581" t="s">
        <v>120</v>
      </c>
      <c r="E581" t="s">
        <v>11</v>
      </c>
      <c r="F581" t="s">
        <v>1268</v>
      </c>
      <c r="G581">
        <v>4</v>
      </c>
      <c r="H581">
        <v>440000</v>
      </c>
      <c r="I581">
        <v>20</v>
      </c>
      <c r="J581" t="s">
        <v>71</v>
      </c>
      <c r="K581" s="14">
        <f t="shared" si="9"/>
        <v>1408000</v>
      </c>
    </row>
    <row r="582" spans="1:11">
      <c r="A582" t="s">
        <v>669</v>
      </c>
      <c r="B582" s="2">
        <v>45025</v>
      </c>
      <c r="C582" t="s">
        <v>139</v>
      </c>
      <c r="D582" t="s">
        <v>61</v>
      </c>
      <c r="E582" t="s">
        <v>20</v>
      </c>
      <c r="F582" t="s">
        <v>12</v>
      </c>
      <c r="G582">
        <v>2</v>
      </c>
      <c r="H582">
        <v>260000</v>
      </c>
      <c r="I582">
        <v>0</v>
      </c>
      <c r="J582" t="s">
        <v>16</v>
      </c>
      <c r="K582" s="14">
        <f t="shared" si="9"/>
        <v>520000</v>
      </c>
    </row>
    <row r="583" spans="1:11">
      <c r="A583" t="s">
        <v>670</v>
      </c>
      <c r="B583" s="2">
        <v>45125</v>
      </c>
      <c r="C583" t="s">
        <v>70</v>
      </c>
      <c r="D583" t="s">
        <v>65</v>
      </c>
      <c r="E583" t="s">
        <v>66</v>
      </c>
      <c r="F583" t="s">
        <v>12</v>
      </c>
      <c r="G583">
        <v>1</v>
      </c>
      <c r="H583">
        <v>295000</v>
      </c>
      <c r="I583">
        <v>0</v>
      </c>
      <c r="J583" t="s">
        <v>287</v>
      </c>
      <c r="K583" s="14">
        <f t="shared" si="9"/>
        <v>295000</v>
      </c>
    </row>
    <row r="584" spans="1:11">
      <c r="A584" t="s">
        <v>671</v>
      </c>
      <c r="B584" s="2">
        <v>45026</v>
      </c>
      <c r="C584" t="s">
        <v>184</v>
      </c>
      <c r="D584" t="s">
        <v>110</v>
      </c>
      <c r="E584" t="s">
        <v>66</v>
      </c>
      <c r="F584" t="s">
        <v>12</v>
      </c>
      <c r="G584">
        <v>1</v>
      </c>
      <c r="H584">
        <v>335000</v>
      </c>
      <c r="I584">
        <v>0</v>
      </c>
      <c r="J584" t="s">
        <v>16</v>
      </c>
      <c r="K584" s="14">
        <f t="shared" si="9"/>
        <v>335000</v>
      </c>
    </row>
    <row r="585" spans="1:11">
      <c r="A585" t="s">
        <v>672</v>
      </c>
      <c r="B585" s="2">
        <v>45103</v>
      </c>
      <c r="C585" t="s">
        <v>90</v>
      </c>
      <c r="D585" t="s">
        <v>91</v>
      </c>
      <c r="E585" t="s">
        <v>11</v>
      </c>
      <c r="F585" t="s">
        <v>12</v>
      </c>
      <c r="G585">
        <v>2</v>
      </c>
      <c r="H585">
        <v>425000</v>
      </c>
      <c r="I585">
        <v>10</v>
      </c>
      <c r="J585" t="s">
        <v>71</v>
      </c>
      <c r="K585" s="14">
        <f t="shared" si="9"/>
        <v>765000</v>
      </c>
    </row>
    <row r="586" spans="1:11">
      <c r="A586" t="s">
        <v>673</v>
      </c>
      <c r="B586" s="2">
        <v>45114</v>
      </c>
      <c r="C586" t="s">
        <v>122</v>
      </c>
      <c r="D586" t="s">
        <v>123</v>
      </c>
      <c r="E586" t="s">
        <v>124</v>
      </c>
      <c r="F586" t="s">
        <v>12</v>
      </c>
      <c r="G586">
        <v>1</v>
      </c>
      <c r="H586">
        <v>228000</v>
      </c>
      <c r="I586">
        <v>0</v>
      </c>
      <c r="J586" t="s">
        <v>16</v>
      </c>
      <c r="K586" s="14">
        <f t="shared" si="9"/>
        <v>228000</v>
      </c>
    </row>
    <row r="587" spans="1:11">
      <c r="A587" t="s">
        <v>674</v>
      </c>
      <c r="B587" s="2">
        <v>45286</v>
      </c>
      <c r="C587" t="s">
        <v>153</v>
      </c>
      <c r="D587" t="s">
        <v>83</v>
      </c>
      <c r="E587" t="s">
        <v>84</v>
      </c>
      <c r="F587" t="s">
        <v>12</v>
      </c>
      <c r="G587">
        <v>1</v>
      </c>
      <c r="H587">
        <v>395000</v>
      </c>
      <c r="I587">
        <v>0</v>
      </c>
      <c r="J587" t="s">
        <v>21</v>
      </c>
      <c r="K587" s="14">
        <f t="shared" si="9"/>
        <v>395000</v>
      </c>
    </row>
    <row r="588" spans="1:11">
      <c r="A588" t="s">
        <v>675</v>
      </c>
      <c r="B588" s="2">
        <v>45269</v>
      </c>
      <c r="C588" t="s">
        <v>119</v>
      </c>
      <c r="D588" t="s">
        <v>120</v>
      </c>
      <c r="E588" t="s">
        <v>11</v>
      </c>
      <c r="F588" t="s">
        <v>68</v>
      </c>
      <c r="G588">
        <v>3</v>
      </c>
      <c r="H588">
        <v>440000</v>
      </c>
      <c r="I588">
        <v>0</v>
      </c>
      <c r="J588" t="s">
        <v>16</v>
      </c>
      <c r="K588" s="14">
        <f t="shared" si="9"/>
        <v>1320000</v>
      </c>
    </row>
    <row r="589" spans="1:11">
      <c r="A589" t="s">
        <v>676</v>
      </c>
      <c r="B589" s="2">
        <v>45235</v>
      </c>
      <c r="C589" t="s">
        <v>299</v>
      </c>
      <c r="D589" t="s">
        <v>120</v>
      </c>
      <c r="E589" t="s">
        <v>11</v>
      </c>
      <c r="F589" t="s">
        <v>12</v>
      </c>
      <c r="G589">
        <v>1</v>
      </c>
      <c r="H589">
        <v>440000</v>
      </c>
      <c r="I589">
        <v>0</v>
      </c>
      <c r="J589" t="s">
        <v>16</v>
      </c>
      <c r="K589" s="14">
        <f t="shared" si="9"/>
        <v>440000</v>
      </c>
    </row>
    <row r="590" spans="1:11">
      <c r="A590" t="s">
        <v>677</v>
      </c>
      <c r="B590" s="2">
        <v>45232</v>
      </c>
      <c r="C590" t="s">
        <v>119</v>
      </c>
      <c r="D590" t="s">
        <v>120</v>
      </c>
      <c r="E590" t="s">
        <v>11</v>
      </c>
      <c r="F590" t="s">
        <v>68</v>
      </c>
      <c r="G590">
        <v>1</v>
      </c>
      <c r="H590">
        <v>440000</v>
      </c>
      <c r="I590">
        <v>0</v>
      </c>
      <c r="J590" t="s">
        <v>16</v>
      </c>
      <c r="K590" s="14">
        <f t="shared" si="9"/>
        <v>440000</v>
      </c>
    </row>
    <row r="591" spans="1:11">
      <c r="A591" t="s">
        <v>678</v>
      </c>
      <c r="B591" s="2">
        <v>45286</v>
      </c>
      <c r="C591" t="s">
        <v>215</v>
      </c>
      <c r="D591" t="s">
        <v>10</v>
      </c>
      <c r="E591" t="s">
        <v>11</v>
      </c>
      <c r="F591" t="s">
        <v>12</v>
      </c>
      <c r="G591">
        <v>1</v>
      </c>
      <c r="H591">
        <v>420000</v>
      </c>
      <c r="I591">
        <v>20</v>
      </c>
      <c r="J591" t="s">
        <v>71</v>
      </c>
      <c r="K591" s="14">
        <f t="shared" si="9"/>
        <v>336000</v>
      </c>
    </row>
    <row r="592" spans="1:11">
      <c r="A592" t="s">
        <v>679</v>
      </c>
      <c r="B592" s="2">
        <v>45139</v>
      </c>
      <c r="C592" t="s">
        <v>133</v>
      </c>
      <c r="D592" t="s">
        <v>102</v>
      </c>
      <c r="E592" t="s">
        <v>11</v>
      </c>
      <c r="F592" t="s">
        <v>62</v>
      </c>
      <c r="G592">
        <v>1</v>
      </c>
      <c r="H592">
        <v>430000</v>
      </c>
      <c r="I592">
        <v>0</v>
      </c>
      <c r="J592" t="s">
        <v>16</v>
      </c>
      <c r="K592" s="14">
        <f t="shared" si="9"/>
        <v>430000</v>
      </c>
    </row>
    <row r="593" spans="1:11">
      <c r="A593" t="s">
        <v>680</v>
      </c>
      <c r="B593" s="2">
        <v>45079</v>
      </c>
      <c r="C593" t="s">
        <v>153</v>
      </c>
      <c r="D593" t="s">
        <v>83</v>
      </c>
      <c r="E593" t="s">
        <v>84</v>
      </c>
      <c r="F593" t="s">
        <v>12</v>
      </c>
      <c r="G593">
        <v>2</v>
      </c>
      <c r="H593">
        <v>395000</v>
      </c>
      <c r="I593">
        <v>0</v>
      </c>
      <c r="J593" t="s">
        <v>21</v>
      </c>
      <c r="K593" s="14">
        <f t="shared" si="9"/>
        <v>790000</v>
      </c>
    </row>
    <row r="594" spans="1:11">
      <c r="A594" t="s">
        <v>681</v>
      </c>
      <c r="B594" s="2">
        <v>45004</v>
      </c>
      <c r="C594" t="s">
        <v>122</v>
      </c>
      <c r="D594" t="s">
        <v>123</v>
      </c>
      <c r="E594" t="s">
        <v>124</v>
      </c>
      <c r="F594" t="s">
        <v>12</v>
      </c>
      <c r="G594">
        <v>4</v>
      </c>
      <c r="H594">
        <v>228000</v>
      </c>
      <c r="I594">
        <v>0</v>
      </c>
      <c r="J594" t="s">
        <v>71</v>
      </c>
      <c r="K594" s="14">
        <f t="shared" si="9"/>
        <v>912000</v>
      </c>
    </row>
    <row r="595" spans="1:11">
      <c r="A595" t="s">
        <v>682</v>
      </c>
      <c r="B595" s="2">
        <v>45172</v>
      </c>
      <c r="C595" t="s">
        <v>23</v>
      </c>
      <c r="D595" t="s">
        <v>24</v>
      </c>
      <c r="E595" t="s">
        <v>25</v>
      </c>
      <c r="F595" t="s">
        <v>12</v>
      </c>
      <c r="G595">
        <v>1</v>
      </c>
      <c r="H595">
        <v>182000</v>
      </c>
      <c r="I595">
        <v>0</v>
      </c>
      <c r="J595" t="s">
        <v>16</v>
      </c>
      <c r="K595" s="14">
        <f t="shared" si="9"/>
        <v>182000</v>
      </c>
    </row>
    <row r="596" spans="1:11">
      <c r="A596" t="s">
        <v>683</v>
      </c>
      <c r="B596" s="2">
        <v>45029</v>
      </c>
      <c r="C596" t="s">
        <v>242</v>
      </c>
      <c r="D596" t="s">
        <v>97</v>
      </c>
      <c r="E596" t="s">
        <v>98</v>
      </c>
      <c r="F596" t="s">
        <v>62</v>
      </c>
      <c r="G596">
        <v>2</v>
      </c>
      <c r="H596">
        <v>170000</v>
      </c>
      <c r="I596">
        <v>0</v>
      </c>
      <c r="J596" t="s">
        <v>41</v>
      </c>
      <c r="K596" s="14">
        <f t="shared" si="9"/>
        <v>340000</v>
      </c>
    </row>
    <row r="597" spans="1:11">
      <c r="A597" t="s">
        <v>684</v>
      </c>
      <c r="B597" s="2">
        <v>45061</v>
      </c>
      <c r="C597" t="s">
        <v>75</v>
      </c>
      <c r="D597" t="s">
        <v>32</v>
      </c>
      <c r="E597" t="s">
        <v>29</v>
      </c>
      <c r="F597" t="s">
        <v>12</v>
      </c>
      <c r="G597">
        <v>1</v>
      </c>
      <c r="H597">
        <v>215000</v>
      </c>
      <c r="I597">
        <v>0</v>
      </c>
      <c r="J597" t="s">
        <v>21</v>
      </c>
      <c r="K597" s="14">
        <f t="shared" si="9"/>
        <v>215000</v>
      </c>
    </row>
    <row r="598" spans="1:11">
      <c r="A598" t="s">
        <v>685</v>
      </c>
      <c r="B598" s="2">
        <v>45282</v>
      </c>
      <c r="C598" t="s">
        <v>49</v>
      </c>
      <c r="D598" t="s">
        <v>50</v>
      </c>
      <c r="E598" t="s">
        <v>29</v>
      </c>
      <c r="F598" t="s">
        <v>62</v>
      </c>
      <c r="G598">
        <v>5</v>
      </c>
      <c r="H598">
        <v>220000</v>
      </c>
      <c r="I598">
        <v>5</v>
      </c>
      <c r="J598" t="s">
        <v>71</v>
      </c>
      <c r="K598" s="14">
        <f t="shared" si="9"/>
        <v>1045000</v>
      </c>
    </row>
    <row r="599" spans="1:11">
      <c r="A599" t="s">
        <v>686</v>
      </c>
      <c r="B599" s="2">
        <v>45127</v>
      </c>
      <c r="C599" t="s">
        <v>147</v>
      </c>
      <c r="D599" t="s">
        <v>148</v>
      </c>
      <c r="E599" t="s">
        <v>66</v>
      </c>
      <c r="F599" t="s">
        <v>12</v>
      </c>
      <c r="G599">
        <v>5</v>
      </c>
      <c r="H599">
        <v>305000</v>
      </c>
      <c r="I599">
        <v>0</v>
      </c>
      <c r="J599" t="s">
        <v>16</v>
      </c>
      <c r="K599" s="14">
        <f t="shared" si="9"/>
        <v>1525000</v>
      </c>
    </row>
    <row r="600" spans="1:11">
      <c r="A600" t="s">
        <v>687</v>
      </c>
      <c r="B600" s="2">
        <v>45030</v>
      </c>
      <c r="C600" t="s">
        <v>147</v>
      </c>
      <c r="D600" t="s">
        <v>148</v>
      </c>
      <c r="E600" t="s">
        <v>66</v>
      </c>
      <c r="F600" t="s">
        <v>12</v>
      </c>
      <c r="G600">
        <v>2</v>
      </c>
      <c r="H600">
        <v>305000</v>
      </c>
      <c r="I600">
        <v>0</v>
      </c>
      <c r="J600" t="s">
        <v>13</v>
      </c>
      <c r="K600" s="14">
        <f t="shared" si="9"/>
        <v>610000</v>
      </c>
    </row>
    <row r="601" spans="1:11">
      <c r="A601" t="s">
        <v>688</v>
      </c>
      <c r="B601" s="2">
        <v>45103</v>
      </c>
      <c r="C601" t="s">
        <v>96</v>
      </c>
      <c r="D601" t="s">
        <v>97</v>
      </c>
      <c r="E601" t="s">
        <v>98</v>
      </c>
      <c r="F601" t="s">
        <v>12</v>
      </c>
      <c r="G601">
        <v>1</v>
      </c>
      <c r="H601">
        <v>170000</v>
      </c>
      <c r="I601">
        <v>0</v>
      </c>
      <c r="J601" t="s">
        <v>1268</v>
      </c>
      <c r="K601" s="14">
        <f t="shared" si="9"/>
        <v>170000</v>
      </c>
    </row>
    <row r="602" spans="1:11">
      <c r="A602" t="s">
        <v>689</v>
      </c>
      <c r="B602" s="2">
        <v>45239</v>
      </c>
      <c r="C602" t="s">
        <v>131</v>
      </c>
      <c r="D602" t="s">
        <v>132</v>
      </c>
      <c r="E602" t="s">
        <v>20</v>
      </c>
      <c r="F602" t="s">
        <v>12</v>
      </c>
      <c r="G602">
        <v>4</v>
      </c>
      <c r="H602">
        <v>280000</v>
      </c>
      <c r="I602">
        <v>0</v>
      </c>
      <c r="J602" t="s">
        <v>41</v>
      </c>
      <c r="K602" s="14">
        <f t="shared" si="9"/>
        <v>1120000</v>
      </c>
    </row>
    <row r="603" spans="1:11">
      <c r="A603" t="s">
        <v>690</v>
      </c>
      <c r="B603" s="2">
        <v>45256</v>
      </c>
      <c r="C603" t="s">
        <v>94</v>
      </c>
      <c r="D603" t="s">
        <v>50</v>
      </c>
      <c r="E603" t="s">
        <v>29</v>
      </c>
      <c r="F603" t="s">
        <v>68</v>
      </c>
      <c r="G603">
        <v>2</v>
      </c>
      <c r="H603">
        <v>220000</v>
      </c>
      <c r="I603">
        <v>0</v>
      </c>
      <c r="J603" t="s">
        <v>41</v>
      </c>
      <c r="K603" s="14">
        <f t="shared" si="9"/>
        <v>440000</v>
      </c>
    </row>
    <row r="604" spans="1:11">
      <c r="A604" t="s">
        <v>691</v>
      </c>
      <c r="B604" s="2">
        <v>44966</v>
      </c>
      <c r="C604" t="s">
        <v>153</v>
      </c>
      <c r="D604" t="s">
        <v>83</v>
      </c>
      <c r="E604" t="s">
        <v>84</v>
      </c>
      <c r="F604" t="s">
        <v>12</v>
      </c>
      <c r="G604">
        <v>2</v>
      </c>
      <c r="H604">
        <v>395000</v>
      </c>
      <c r="I604">
        <v>10</v>
      </c>
      <c r="J604" t="s">
        <v>16</v>
      </c>
      <c r="K604" s="14">
        <f t="shared" si="9"/>
        <v>711000</v>
      </c>
    </row>
    <row r="605" spans="1:11">
      <c r="A605" t="s">
        <v>692</v>
      </c>
      <c r="B605" s="2">
        <v>45144</v>
      </c>
      <c r="C605" t="s">
        <v>215</v>
      </c>
      <c r="D605" t="s">
        <v>10</v>
      </c>
      <c r="E605" t="s">
        <v>11</v>
      </c>
      <c r="F605" t="s">
        <v>12</v>
      </c>
      <c r="G605">
        <v>1</v>
      </c>
      <c r="H605">
        <v>420000</v>
      </c>
      <c r="I605">
        <v>0</v>
      </c>
      <c r="J605" t="s">
        <v>21</v>
      </c>
      <c r="K605" s="14">
        <f t="shared" si="9"/>
        <v>420000</v>
      </c>
    </row>
    <row r="606" spans="1:11">
      <c r="A606" t="s">
        <v>693</v>
      </c>
      <c r="B606" s="2">
        <v>45086</v>
      </c>
      <c r="C606" t="s">
        <v>242</v>
      </c>
      <c r="D606" t="s">
        <v>97</v>
      </c>
      <c r="E606" t="s">
        <v>98</v>
      </c>
      <c r="F606" t="s">
        <v>62</v>
      </c>
      <c r="G606">
        <v>1</v>
      </c>
      <c r="H606">
        <v>170000</v>
      </c>
      <c r="I606">
        <v>0</v>
      </c>
      <c r="J606" t="s">
        <v>41</v>
      </c>
      <c r="K606" s="14">
        <f t="shared" si="9"/>
        <v>170000</v>
      </c>
    </row>
    <row r="607" spans="1:11">
      <c r="A607" t="s">
        <v>694</v>
      </c>
      <c r="B607" s="2">
        <v>44989</v>
      </c>
      <c r="C607" t="s">
        <v>94</v>
      </c>
      <c r="D607" t="s">
        <v>50</v>
      </c>
      <c r="E607" t="s">
        <v>29</v>
      </c>
      <c r="F607" t="s">
        <v>68</v>
      </c>
      <c r="G607">
        <v>3</v>
      </c>
      <c r="H607">
        <v>220000</v>
      </c>
      <c r="I607">
        <v>0</v>
      </c>
      <c r="J607" t="s">
        <v>16</v>
      </c>
      <c r="K607" s="14">
        <f t="shared" si="9"/>
        <v>660000</v>
      </c>
    </row>
    <row r="608" spans="1:11">
      <c r="A608" t="s">
        <v>695</v>
      </c>
      <c r="B608" s="2">
        <v>45213</v>
      </c>
      <c r="C608" t="s">
        <v>119</v>
      </c>
      <c r="D608" t="s">
        <v>120</v>
      </c>
      <c r="E608" t="s">
        <v>11</v>
      </c>
      <c r="F608" t="s">
        <v>68</v>
      </c>
      <c r="G608">
        <v>3</v>
      </c>
      <c r="H608">
        <v>440000</v>
      </c>
      <c r="I608">
        <v>0</v>
      </c>
      <c r="J608" t="s">
        <v>21</v>
      </c>
      <c r="K608" s="14">
        <f t="shared" si="9"/>
        <v>1320000</v>
      </c>
    </row>
    <row r="609" spans="1:11">
      <c r="A609" t="s">
        <v>696</v>
      </c>
      <c r="B609" s="2">
        <v>45007</v>
      </c>
      <c r="C609" t="s">
        <v>55</v>
      </c>
      <c r="D609" t="s">
        <v>56</v>
      </c>
      <c r="E609" t="s">
        <v>57</v>
      </c>
      <c r="F609" t="s">
        <v>62</v>
      </c>
      <c r="G609">
        <v>2</v>
      </c>
      <c r="H609">
        <v>105000</v>
      </c>
      <c r="I609">
        <v>0</v>
      </c>
      <c r="J609" t="s">
        <v>21</v>
      </c>
      <c r="K609" s="14">
        <f t="shared" si="9"/>
        <v>210000</v>
      </c>
    </row>
    <row r="610" spans="1:11">
      <c r="A610" t="s">
        <v>697</v>
      </c>
      <c r="B610" s="2">
        <v>45245</v>
      </c>
      <c r="C610" t="s">
        <v>250</v>
      </c>
      <c r="D610" t="s">
        <v>53</v>
      </c>
      <c r="E610" t="s">
        <v>36</v>
      </c>
      <c r="F610" t="s">
        <v>62</v>
      </c>
      <c r="G610">
        <v>1</v>
      </c>
      <c r="H610">
        <v>195000</v>
      </c>
      <c r="I610">
        <v>0</v>
      </c>
      <c r="J610" t="s">
        <v>21</v>
      </c>
      <c r="K610" s="14">
        <f t="shared" si="9"/>
        <v>195000</v>
      </c>
    </row>
    <row r="611" spans="1:11">
      <c r="A611" t="s">
        <v>698</v>
      </c>
      <c r="B611" s="2">
        <v>45047</v>
      </c>
      <c r="C611" t="s">
        <v>34</v>
      </c>
      <c r="D611" t="s">
        <v>35</v>
      </c>
      <c r="E611" t="s">
        <v>36</v>
      </c>
      <c r="F611" t="s">
        <v>12</v>
      </c>
      <c r="G611">
        <v>2</v>
      </c>
      <c r="H611">
        <v>198000</v>
      </c>
      <c r="I611">
        <v>0</v>
      </c>
      <c r="J611" t="s">
        <v>41</v>
      </c>
      <c r="K611" s="14">
        <f t="shared" si="9"/>
        <v>396000</v>
      </c>
    </row>
    <row r="612" spans="1:11">
      <c r="A612" t="s">
        <v>699</v>
      </c>
      <c r="B612" s="2">
        <v>44996</v>
      </c>
      <c r="C612" t="s">
        <v>101</v>
      </c>
      <c r="D612" t="s">
        <v>102</v>
      </c>
      <c r="E612" t="s">
        <v>11</v>
      </c>
      <c r="F612" t="s">
        <v>12</v>
      </c>
      <c r="G612">
        <v>2</v>
      </c>
      <c r="H612">
        <v>430000</v>
      </c>
      <c r="I612">
        <v>5</v>
      </c>
      <c r="J612" t="s">
        <v>41</v>
      </c>
      <c r="K612" s="14">
        <f t="shared" si="9"/>
        <v>817000</v>
      </c>
    </row>
    <row r="613" spans="1:11">
      <c r="A613" t="s">
        <v>700</v>
      </c>
      <c r="B613" s="2">
        <v>45156</v>
      </c>
      <c r="C613" t="s">
        <v>96</v>
      </c>
      <c r="D613" t="s">
        <v>97</v>
      </c>
      <c r="E613" t="s">
        <v>98</v>
      </c>
      <c r="F613" t="s">
        <v>12</v>
      </c>
      <c r="G613">
        <v>1</v>
      </c>
      <c r="H613">
        <v>170000</v>
      </c>
      <c r="I613">
        <v>0</v>
      </c>
      <c r="J613" t="s">
        <v>16</v>
      </c>
      <c r="K613" s="14">
        <f t="shared" si="9"/>
        <v>170000</v>
      </c>
    </row>
    <row r="614" spans="1:11">
      <c r="A614" t="s">
        <v>701</v>
      </c>
      <c r="B614" s="2">
        <v>45224</v>
      </c>
      <c r="C614" t="s">
        <v>131</v>
      </c>
      <c r="D614" t="s">
        <v>132</v>
      </c>
      <c r="E614" t="s">
        <v>20</v>
      </c>
      <c r="F614" t="s">
        <v>12</v>
      </c>
      <c r="G614">
        <v>2</v>
      </c>
      <c r="H614">
        <v>280000</v>
      </c>
      <c r="I614">
        <v>5</v>
      </c>
      <c r="J614" t="s">
        <v>21</v>
      </c>
      <c r="K614" s="14">
        <f t="shared" si="9"/>
        <v>532000</v>
      </c>
    </row>
    <row r="615" spans="1:11">
      <c r="A615" t="s">
        <v>702</v>
      </c>
      <c r="B615" s="2">
        <v>45290</v>
      </c>
      <c r="C615" t="s">
        <v>34</v>
      </c>
      <c r="D615" t="s">
        <v>35</v>
      </c>
      <c r="E615" t="s">
        <v>36</v>
      </c>
      <c r="F615" t="s">
        <v>12</v>
      </c>
      <c r="G615">
        <v>1</v>
      </c>
      <c r="H615">
        <v>198000</v>
      </c>
      <c r="I615">
        <v>20</v>
      </c>
      <c r="J615" t="s">
        <v>1268</v>
      </c>
      <c r="K615" s="14">
        <f t="shared" si="9"/>
        <v>158400</v>
      </c>
    </row>
    <row r="616" spans="1:11">
      <c r="A616" t="s">
        <v>703</v>
      </c>
      <c r="B616" s="2">
        <v>45225</v>
      </c>
      <c r="C616" t="s">
        <v>215</v>
      </c>
      <c r="D616" t="s">
        <v>10</v>
      </c>
      <c r="E616" t="s">
        <v>11</v>
      </c>
      <c r="F616" t="s">
        <v>12</v>
      </c>
      <c r="G616">
        <v>1</v>
      </c>
      <c r="H616">
        <v>420000</v>
      </c>
      <c r="I616">
        <v>0</v>
      </c>
      <c r="J616" t="s">
        <v>13</v>
      </c>
      <c r="K616" s="14">
        <f t="shared" si="9"/>
        <v>420000</v>
      </c>
    </row>
    <row r="617" spans="1:11">
      <c r="A617" t="s">
        <v>704</v>
      </c>
      <c r="B617" s="2">
        <v>45193</v>
      </c>
      <c r="C617" t="s">
        <v>228</v>
      </c>
      <c r="D617" t="s">
        <v>50</v>
      </c>
      <c r="E617" t="s">
        <v>29</v>
      </c>
      <c r="F617" t="s">
        <v>12</v>
      </c>
      <c r="G617">
        <v>4</v>
      </c>
      <c r="H617">
        <v>220000</v>
      </c>
      <c r="I617">
        <v>10</v>
      </c>
      <c r="J617" t="s">
        <v>21</v>
      </c>
      <c r="K617" s="14">
        <f t="shared" si="9"/>
        <v>792000</v>
      </c>
    </row>
    <row r="618" spans="1:11">
      <c r="A618" t="s">
        <v>705</v>
      </c>
      <c r="B618" s="2">
        <v>45034</v>
      </c>
      <c r="C618" t="s">
        <v>52</v>
      </c>
      <c r="D618" t="s">
        <v>53</v>
      </c>
      <c r="E618" t="s">
        <v>1293</v>
      </c>
      <c r="F618" t="s">
        <v>12</v>
      </c>
      <c r="G618">
        <v>2</v>
      </c>
      <c r="H618">
        <v>195000</v>
      </c>
      <c r="I618">
        <v>0</v>
      </c>
      <c r="J618" t="s">
        <v>16</v>
      </c>
      <c r="K618" s="14">
        <f t="shared" si="9"/>
        <v>390000</v>
      </c>
    </row>
    <row r="619" spans="1:11">
      <c r="A619" t="s">
        <v>706</v>
      </c>
      <c r="B619" s="2">
        <v>45122</v>
      </c>
      <c r="C619" t="s">
        <v>60</v>
      </c>
      <c r="D619" t="s">
        <v>61</v>
      </c>
      <c r="E619" t="s">
        <v>20</v>
      </c>
      <c r="F619" t="s">
        <v>62</v>
      </c>
      <c r="G619">
        <v>1</v>
      </c>
      <c r="H619">
        <v>260000</v>
      </c>
      <c r="I619">
        <v>0</v>
      </c>
      <c r="J619" t="s">
        <v>21</v>
      </c>
      <c r="K619" s="14">
        <f t="shared" si="9"/>
        <v>260000</v>
      </c>
    </row>
    <row r="620" spans="1:11">
      <c r="A620" t="s">
        <v>707</v>
      </c>
      <c r="B620" s="2">
        <v>45257</v>
      </c>
      <c r="C620" t="s">
        <v>133</v>
      </c>
      <c r="D620" t="s">
        <v>102</v>
      </c>
      <c r="E620" t="s">
        <v>11</v>
      </c>
      <c r="F620" t="s">
        <v>62</v>
      </c>
      <c r="G620">
        <v>2</v>
      </c>
      <c r="H620">
        <v>430000</v>
      </c>
      <c r="I620">
        <v>0</v>
      </c>
      <c r="J620" t="s">
        <v>21</v>
      </c>
      <c r="K620" s="14">
        <f t="shared" si="9"/>
        <v>860000</v>
      </c>
    </row>
    <row r="621" spans="1:11">
      <c r="A621" t="s">
        <v>708</v>
      </c>
      <c r="B621" s="2">
        <v>45098</v>
      </c>
      <c r="C621" t="s">
        <v>64</v>
      </c>
      <c r="D621" t="s">
        <v>65</v>
      </c>
      <c r="E621" t="s">
        <v>66</v>
      </c>
      <c r="F621" t="s">
        <v>62</v>
      </c>
      <c r="G621">
        <v>1</v>
      </c>
      <c r="H621">
        <v>295000</v>
      </c>
      <c r="I621">
        <v>0</v>
      </c>
      <c r="J621" t="s">
        <v>16</v>
      </c>
      <c r="K621" s="14">
        <f t="shared" si="9"/>
        <v>295000</v>
      </c>
    </row>
    <row r="622" spans="1:11">
      <c r="A622" t="s">
        <v>709</v>
      </c>
      <c r="B622" s="2">
        <v>45093</v>
      </c>
      <c r="C622" t="s">
        <v>52</v>
      </c>
      <c r="D622" t="s">
        <v>53</v>
      </c>
      <c r="E622" t="s">
        <v>1293</v>
      </c>
      <c r="F622" t="s">
        <v>12</v>
      </c>
      <c r="G622">
        <v>4</v>
      </c>
      <c r="H622">
        <v>195000</v>
      </c>
      <c r="I622">
        <v>0</v>
      </c>
      <c r="J622" t="s">
        <v>16</v>
      </c>
      <c r="K622" s="14">
        <f t="shared" si="9"/>
        <v>780000</v>
      </c>
    </row>
    <row r="623" spans="1:11">
      <c r="A623" t="s">
        <v>710</v>
      </c>
      <c r="B623" s="2">
        <v>45286</v>
      </c>
      <c r="C623" t="s">
        <v>27</v>
      </c>
      <c r="D623" t="s">
        <v>28</v>
      </c>
      <c r="E623" t="s">
        <v>29</v>
      </c>
      <c r="F623" t="s">
        <v>1268</v>
      </c>
      <c r="G623">
        <v>2</v>
      </c>
      <c r="H623">
        <v>210000</v>
      </c>
      <c r="I623">
        <v>20</v>
      </c>
      <c r="J623" t="s">
        <v>21</v>
      </c>
      <c r="K623" s="14">
        <f t="shared" si="9"/>
        <v>336000</v>
      </c>
    </row>
    <row r="624" spans="1:11">
      <c r="A624" t="s">
        <v>711</v>
      </c>
      <c r="B624" s="2">
        <v>45095</v>
      </c>
      <c r="C624" t="s">
        <v>52</v>
      </c>
      <c r="D624" t="s">
        <v>53</v>
      </c>
      <c r="E624" t="s">
        <v>1293</v>
      </c>
      <c r="F624" t="s">
        <v>12</v>
      </c>
      <c r="G624">
        <v>1</v>
      </c>
      <c r="H624">
        <v>195000</v>
      </c>
      <c r="I624">
        <v>0</v>
      </c>
      <c r="J624" t="s">
        <v>41</v>
      </c>
      <c r="K624" s="14">
        <f t="shared" si="9"/>
        <v>195000</v>
      </c>
    </row>
    <row r="625" spans="1:11">
      <c r="A625" t="s">
        <v>712</v>
      </c>
      <c r="B625" s="2">
        <v>45090</v>
      </c>
      <c r="C625" t="s">
        <v>82</v>
      </c>
      <c r="D625" t="s">
        <v>83</v>
      </c>
      <c r="E625" t="s">
        <v>84</v>
      </c>
      <c r="F625" t="s">
        <v>68</v>
      </c>
      <c r="G625">
        <v>1</v>
      </c>
      <c r="H625">
        <v>395000</v>
      </c>
      <c r="I625">
        <v>0</v>
      </c>
      <c r="J625" t="s">
        <v>1268</v>
      </c>
      <c r="K625" s="14">
        <f t="shared" si="9"/>
        <v>395000</v>
      </c>
    </row>
    <row r="626" spans="1:11">
      <c r="A626" t="s">
        <v>713</v>
      </c>
      <c r="B626" s="2">
        <v>45281</v>
      </c>
      <c r="C626" t="s">
        <v>101</v>
      </c>
      <c r="D626" t="s">
        <v>102</v>
      </c>
      <c r="E626" t="s">
        <v>11</v>
      </c>
      <c r="F626" t="s">
        <v>12</v>
      </c>
      <c r="G626">
        <v>1</v>
      </c>
      <c r="H626">
        <v>430000</v>
      </c>
      <c r="I626">
        <v>5</v>
      </c>
      <c r="J626" t="s">
        <v>16</v>
      </c>
      <c r="K626" s="14">
        <f t="shared" ref="K626:K687" si="10">G626*H626*(1-I626/100)</f>
        <v>408500</v>
      </c>
    </row>
    <row r="627" spans="1:11">
      <c r="A627" t="s">
        <v>714</v>
      </c>
      <c r="B627" s="2">
        <v>45188</v>
      </c>
      <c r="C627" t="s">
        <v>131</v>
      </c>
      <c r="D627" t="s">
        <v>132</v>
      </c>
      <c r="E627" t="s">
        <v>20</v>
      </c>
      <c r="F627" t="s">
        <v>12</v>
      </c>
      <c r="G627">
        <v>2</v>
      </c>
      <c r="H627">
        <v>280000</v>
      </c>
      <c r="I627">
        <v>0</v>
      </c>
      <c r="J627" t="s">
        <v>21</v>
      </c>
      <c r="K627" s="14">
        <f t="shared" si="10"/>
        <v>560000</v>
      </c>
    </row>
    <row r="628" spans="1:11">
      <c r="A628" t="s">
        <v>715</v>
      </c>
      <c r="B628" s="2">
        <v>44927</v>
      </c>
      <c r="C628" t="s">
        <v>133</v>
      </c>
      <c r="D628" t="s">
        <v>102</v>
      </c>
      <c r="E628" t="s">
        <v>11</v>
      </c>
      <c r="F628" t="s">
        <v>62</v>
      </c>
      <c r="G628">
        <v>4</v>
      </c>
      <c r="H628">
        <v>430000</v>
      </c>
      <c r="I628">
        <v>0</v>
      </c>
      <c r="J628" t="s">
        <v>16</v>
      </c>
      <c r="K628" s="14">
        <f t="shared" si="10"/>
        <v>1720000</v>
      </c>
    </row>
    <row r="629" spans="1:11">
      <c r="A629" t="s">
        <v>716</v>
      </c>
      <c r="B629" s="2">
        <v>45091</v>
      </c>
      <c r="C629" t="s">
        <v>82</v>
      </c>
      <c r="D629" t="s">
        <v>83</v>
      </c>
      <c r="E629" t="s">
        <v>84</v>
      </c>
      <c r="F629" t="s">
        <v>68</v>
      </c>
      <c r="G629">
        <v>3</v>
      </c>
      <c r="H629">
        <v>395000</v>
      </c>
      <c r="I629">
        <v>0</v>
      </c>
      <c r="J629" t="s">
        <v>16</v>
      </c>
      <c r="K629" s="14">
        <f t="shared" si="10"/>
        <v>1185000</v>
      </c>
    </row>
    <row r="630" spans="1:11">
      <c r="A630" t="s">
        <v>717</v>
      </c>
      <c r="B630" s="2">
        <v>45086</v>
      </c>
      <c r="C630" t="s">
        <v>27</v>
      </c>
      <c r="D630" t="s">
        <v>28</v>
      </c>
      <c r="E630" t="s">
        <v>29</v>
      </c>
      <c r="F630" t="s">
        <v>12</v>
      </c>
      <c r="G630">
        <v>5</v>
      </c>
      <c r="H630">
        <v>210000</v>
      </c>
      <c r="I630">
        <v>15</v>
      </c>
      <c r="J630" t="s">
        <v>21</v>
      </c>
      <c r="K630" s="14">
        <f t="shared" si="10"/>
        <v>892500</v>
      </c>
    </row>
    <row r="631" spans="1:11">
      <c r="A631" t="s">
        <v>443</v>
      </c>
      <c r="B631" s="2">
        <v>45263</v>
      </c>
      <c r="C631" t="s">
        <v>52</v>
      </c>
      <c r="D631" t="s">
        <v>53</v>
      </c>
      <c r="E631" t="s">
        <v>1293</v>
      </c>
      <c r="F631" t="s">
        <v>12</v>
      </c>
      <c r="G631">
        <v>1</v>
      </c>
      <c r="H631">
        <v>195000</v>
      </c>
      <c r="I631">
        <v>0</v>
      </c>
      <c r="J631" t="s">
        <v>16</v>
      </c>
      <c r="K631" s="14">
        <f t="shared" si="10"/>
        <v>195000</v>
      </c>
    </row>
    <row r="632" spans="1:11">
      <c r="A632" t="s">
        <v>718</v>
      </c>
      <c r="B632" s="2">
        <v>45217</v>
      </c>
      <c r="C632" t="s">
        <v>131</v>
      </c>
      <c r="D632" t="s">
        <v>132</v>
      </c>
      <c r="E632" t="s">
        <v>20</v>
      </c>
      <c r="F632" t="s">
        <v>12</v>
      </c>
      <c r="G632">
        <v>1</v>
      </c>
      <c r="H632">
        <v>280000</v>
      </c>
      <c r="I632">
        <v>0</v>
      </c>
      <c r="J632" t="s">
        <v>16</v>
      </c>
      <c r="K632" s="14">
        <f t="shared" si="10"/>
        <v>280000</v>
      </c>
    </row>
    <row r="633" spans="1:11">
      <c r="A633" t="s">
        <v>719</v>
      </c>
      <c r="B633" s="2">
        <v>44998</v>
      </c>
      <c r="C633" t="s">
        <v>43</v>
      </c>
      <c r="D633" t="s">
        <v>44</v>
      </c>
      <c r="E633" t="s">
        <v>29</v>
      </c>
      <c r="F633" t="s">
        <v>68</v>
      </c>
      <c r="G633">
        <v>1</v>
      </c>
      <c r="H633">
        <v>235000</v>
      </c>
      <c r="I633">
        <v>0</v>
      </c>
      <c r="J633" t="s">
        <v>1268</v>
      </c>
      <c r="K633" s="14">
        <f t="shared" si="10"/>
        <v>235000</v>
      </c>
    </row>
    <row r="634" spans="1:11">
      <c r="A634" t="s">
        <v>720</v>
      </c>
      <c r="B634" s="2">
        <v>44928</v>
      </c>
      <c r="C634" t="s">
        <v>215</v>
      </c>
      <c r="D634" t="s">
        <v>10</v>
      </c>
      <c r="E634" t="s">
        <v>11</v>
      </c>
      <c r="F634" t="s">
        <v>12</v>
      </c>
      <c r="G634">
        <v>1</v>
      </c>
      <c r="H634">
        <v>420000</v>
      </c>
      <c r="I634">
        <v>5</v>
      </c>
      <c r="J634" t="s">
        <v>21</v>
      </c>
      <c r="K634" s="14">
        <f t="shared" si="10"/>
        <v>399000</v>
      </c>
    </row>
    <row r="635" spans="1:11">
      <c r="A635" t="s">
        <v>721</v>
      </c>
      <c r="B635" s="2">
        <v>45233</v>
      </c>
      <c r="C635" t="s">
        <v>18</v>
      </c>
      <c r="D635" t="s">
        <v>19</v>
      </c>
      <c r="E635" t="s">
        <v>20</v>
      </c>
      <c r="F635" t="s">
        <v>12</v>
      </c>
      <c r="G635">
        <v>4</v>
      </c>
      <c r="H635">
        <v>265000</v>
      </c>
      <c r="I635">
        <v>0</v>
      </c>
      <c r="J635" t="s">
        <v>21</v>
      </c>
      <c r="K635" s="14">
        <f t="shared" si="10"/>
        <v>1060000</v>
      </c>
    </row>
    <row r="636" spans="1:11">
      <c r="A636" t="s">
        <v>722</v>
      </c>
      <c r="B636" s="2">
        <v>45250</v>
      </c>
      <c r="C636" t="s">
        <v>299</v>
      </c>
      <c r="D636" t="s">
        <v>120</v>
      </c>
      <c r="E636" t="s">
        <v>11</v>
      </c>
      <c r="F636" t="s">
        <v>12</v>
      </c>
      <c r="G636">
        <v>1</v>
      </c>
      <c r="H636">
        <v>440000</v>
      </c>
      <c r="I636">
        <v>0</v>
      </c>
      <c r="J636" t="s">
        <v>71</v>
      </c>
      <c r="K636" s="14">
        <f t="shared" si="10"/>
        <v>440000</v>
      </c>
    </row>
    <row r="637" spans="1:11">
      <c r="A637" t="s">
        <v>723</v>
      </c>
      <c r="B637" s="2">
        <v>45168</v>
      </c>
      <c r="C637" t="s">
        <v>242</v>
      </c>
      <c r="D637" t="s">
        <v>97</v>
      </c>
      <c r="E637" t="s">
        <v>98</v>
      </c>
      <c r="F637" t="s">
        <v>62</v>
      </c>
      <c r="G637">
        <v>3</v>
      </c>
      <c r="H637">
        <v>170000</v>
      </c>
      <c r="I637">
        <v>0</v>
      </c>
      <c r="J637" t="s">
        <v>16</v>
      </c>
      <c r="K637" s="14">
        <f t="shared" si="10"/>
        <v>510000</v>
      </c>
    </row>
    <row r="638" spans="1:11">
      <c r="A638" t="s">
        <v>724</v>
      </c>
      <c r="B638" s="2">
        <v>45289</v>
      </c>
      <c r="C638" t="s">
        <v>15</v>
      </c>
      <c r="D638" t="s">
        <v>10</v>
      </c>
      <c r="E638" t="s">
        <v>11</v>
      </c>
      <c r="F638" t="s">
        <v>68</v>
      </c>
      <c r="G638">
        <v>4</v>
      </c>
      <c r="H638">
        <v>420000</v>
      </c>
      <c r="I638">
        <v>0</v>
      </c>
      <c r="J638" t="s">
        <v>16</v>
      </c>
      <c r="K638" s="14">
        <f t="shared" si="10"/>
        <v>1680000</v>
      </c>
    </row>
    <row r="639" spans="1:11">
      <c r="A639" t="s">
        <v>725</v>
      </c>
      <c r="B639" s="2">
        <v>45092</v>
      </c>
      <c r="C639" t="s">
        <v>55</v>
      </c>
      <c r="D639" t="s">
        <v>56</v>
      </c>
      <c r="E639" t="s">
        <v>57</v>
      </c>
      <c r="F639" t="s">
        <v>62</v>
      </c>
      <c r="G639">
        <v>2</v>
      </c>
      <c r="H639">
        <v>105000</v>
      </c>
      <c r="I639">
        <v>5</v>
      </c>
      <c r="J639" t="s">
        <v>16</v>
      </c>
      <c r="K639" s="14">
        <f t="shared" si="10"/>
        <v>199500</v>
      </c>
    </row>
    <row r="640" spans="1:11">
      <c r="A640" t="s">
        <v>726</v>
      </c>
      <c r="B640" s="2">
        <v>44974</v>
      </c>
      <c r="C640" t="s">
        <v>133</v>
      </c>
      <c r="D640" t="s">
        <v>102</v>
      </c>
      <c r="E640" t="s">
        <v>11</v>
      </c>
      <c r="F640" t="s">
        <v>62</v>
      </c>
      <c r="G640">
        <v>2</v>
      </c>
      <c r="H640">
        <v>430000</v>
      </c>
      <c r="I640">
        <v>0</v>
      </c>
      <c r="J640" t="s">
        <v>71</v>
      </c>
      <c r="K640" s="14">
        <f t="shared" si="10"/>
        <v>860000</v>
      </c>
    </row>
    <row r="641" spans="1:11">
      <c r="A641" t="s">
        <v>727</v>
      </c>
      <c r="B641" s="2">
        <v>45163</v>
      </c>
      <c r="C641" t="s">
        <v>162</v>
      </c>
      <c r="D641" t="s">
        <v>56</v>
      </c>
      <c r="E641" t="s">
        <v>57</v>
      </c>
      <c r="F641" t="s">
        <v>68</v>
      </c>
      <c r="G641">
        <v>5</v>
      </c>
      <c r="H641">
        <v>105000</v>
      </c>
      <c r="I641">
        <v>0</v>
      </c>
      <c r="J641" t="s">
        <v>16</v>
      </c>
      <c r="K641" s="14">
        <f t="shared" si="10"/>
        <v>525000</v>
      </c>
    </row>
    <row r="642" spans="1:11">
      <c r="A642" t="s">
        <v>728</v>
      </c>
      <c r="B642" s="2">
        <v>44937</v>
      </c>
      <c r="C642" t="s">
        <v>96</v>
      </c>
      <c r="D642" t="s">
        <v>97</v>
      </c>
      <c r="E642" t="s">
        <v>98</v>
      </c>
      <c r="F642" t="s">
        <v>12</v>
      </c>
      <c r="G642">
        <v>1</v>
      </c>
      <c r="H642">
        <v>170000</v>
      </c>
      <c r="I642">
        <v>15</v>
      </c>
      <c r="J642" t="s">
        <v>21</v>
      </c>
      <c r="K642" s="14">
        <f t="shared" si="10"/>
        <v>144500</v>
      </c>
    </row>
    <row r="643" spans="1:11">
      <c r="A643" t="s">
        <v>729</v>
      </c>
      <c r="B643" s="2">
        <v>45004</v>
      </c>
      <c r="C643" t="s">
        <v>299</v>
      </c>
      <c r="D643" t="s">
        <v>120</v>
      </c>
      <c r="E643" t="s">
        <v>11</v>
      </c>
      <c r="F643" t="s">
        <v>12</v>
      </c>
      <c r="G643">
        <v>1</v>
      </c>
      <c r="H643">
        <v>440000</v>
      </c>
      <c r="I643">
        <v>15</v>
      </c>
      <c r="J643" t="s">
        <v>71</v>
      </c>
      <c r="K643" s="14">
        <f t="shared" si="10"/>
        <v>374000</v>
      </c>
    </row>
    <row r="644" spans="1:11">
      <c r="A644" t="s">
        <v>730</v>
      </c>
      <c r="B644" s="2">
        <v>45281</v>
      </c>
      <c r="C644" t="s">
        <v>90</v>
      </c>
      <c r="D644" t="s">
        <v>91</v>
      </c>
      <c r="E644" t="s">
        <v>11</v>
      </c>
      <c r="F644" t="s">
        <v>12</v>
      </c>
      <c r="G644">
        <v>3</v>
      </c>
      <c r="H644">
        <v>425000</v>
      </c>
      <c r="I644">
        <v>0</v>
      </c>
      <c r="J644" t="s">
        <v>41</v>
      </c>
      <c r="K644" s="14">
        <f t="shared" si="10"/>
        <v>1275000</v>
      </c>
    </row>
    <row r="645" spans="1:11">
      <c r="A645" t="s">
        <v>731</v>
      </c>
      <c r="B645" s="2">
        <v>45018</v>
      </c>
      <c r="C645" t="s">
        <v>228</v>
      </c>
      <c r="D645" t="s">
        <v>50</v>
      </c>
      <c r="E645" t="s">
        <v>29</v>
      </c>
      <c r="F645" t="s">
        <v>12</v>
      </c>
      <c r="G645">
        <v>1</v>
      </c>
      <c r="H645">
        <v>220000</v>
      </c>
      <c r="I645">
        <v>0</v>
      </c>
      <c r="J645" t="s">
        <v>16</v>
      </c>
      <c r="K645" s="14">
        <f t="shared" si="10"/>
        <v>220000</v>
      </c>
    </row>
    <row r="646" spans="1:11">
      <c r="A646" t="s">
        <v>732</v>
      </c>
      <c r="B646" s="2">
        <v>44979</v>
      </c>
      <c r="C646" t="s">
        <v>131</v>
      </c>
      <c r="D646" t="s">
        <v>132</v>
      </c>
      <c r="E646" t="s">
        <v>20</v>
      </c>
      <c r="F646" t="s">
        <v>12</v>
      </c>
      <c r="G646">
        <v>1</v>
      </c>
      <c r="H646">
        <v>280000</v>
      </c>
      <c r="I646">
        <v>0</v>
      </c>
      <c r="J646" t="s">
        <v>21</v>
      </c>
      <c r="K646" s="14">
        <f t="shared" si="10"/>
        <v>280000</v>
      </c>
    </row>
    <row r="647" spans="1:11">
      <c r="A647" t="s">
        <v>733</v>
      </c>
      <c r="B647" s="2">
        <v>44992</v>
      </c>
      <c r="C647" t="s">
        <v>108</v>
      </c>
      <c r="D647" t="s">
        <v>56</v>
      </c>
      <c r="E647" t="s">
        <v>57</v>
      </c>
      <c r="F647" t="s">
        <v>12</v>
      </c>
      <c r="G647">
        <v>3</v>
      </c>
      <c r="H647">
        <v>105000</v>
      </c>
      <c r="I647">
        <v>0</v>
      </c>
      <c r="J647" t="s">
        <v>16</v>
      </c>
      <c r="K647" s="14">
        <f t="shared" si="10"/>
        <v>315000</v>
      </c>
    </row>
    <row r="648" spans="1:11">
      <c r="A648" t="s">
        <v>734</v>
      </c>
      <c r="B648" s="2">
        <v>45088</v>
      </c>
      <c r="C648" t="s">
        <v>242</v>
      </c>
      <c r="D648" t="s">
        <v>97</v>
      </c>
      <c r="E648" t="s">
        <v>98</v>
      </c>
      <c r="F648" t="s">
        <v>62</v>
      </c>
      <c r="G648">
        <v>2</v>
      </c>
      <c r="H648">
        <v>170000</v>
      </c>
      <c r="I648">
        <v>0</v>
      </c>
      <c r="J648" t="s">
        <v>71</v>
      </c>
      <c r="K648" s="14">
        <f t="shared" si="10"/>
        <v>340000</v>
      </c>
    </row>
    <row r="649" spans="1:11">
      <c r="A649" t="s">
        <v>735</v>
      </c>
      <c r="B649" s="2">
        <v>45247</v>
      </c>
      <c r="C649" t="s">
        <v>104</v>
      </c>
      <c r="D649" t="s">
        <v>105</v>
      </c>
      <c r="E649" t="s">
        <v>29</v>
      </c>
      <c r="F649" t="s">
        <v>12</v>
      </c>
      <c r="G649">
        <v>1</v>
      </c>
      <c r="H649">
        <v>210000</v>
      </c>
      <c r="I649">
        <v>0</v>
      </c>
      <c r="J649" t="s">
        <v>71</v>
      </c>
      <c r="K649" s="14">
        <f t="shared" si="10"/>
        <v>210000</v>
      </c>
    </row>
    <row r="650" spans="1:11">
      <c r="A650" t="s">
        <v>736</v>
      </c>
      <c r="B650" s="2">
        <v>45022</v>
      </c>
      <c r="C650" t="s">
        <v>144</v>
      </c>
      <c r="D650" t="s">
        <v>142</v>
      </c>
      <c r="E650" t="s">
        <v>66</v>
      </c>
      <c r="F650" t="s">
        <v>12</v>
      </c>
      <c r="G650">
        <v>1</v>
      </c>
      <c r="H650">
        <v>330000</v>
      </c>
      <c r="I650">
        <v>5</v>
      </c>
      <c r="J650" t="s">
        <v>71</v>
      </c>
      <c r="K650" s="14">
        <f t="shared" si="10"/>
        <v>313500</v>
      </c>
    </row>
    <row r="651" spans="1:11">
      <c r="A651" t="s">
        <v>737</v>
      </c>
      <c r="B651" s="2">
        <v>45216</v>
      </c>
      <c r="C651" t="s">
        <v>147</v>
      </c>
      <c r="D651" t="s">
        <v>148</v>
      </c>
      <c r="E651" t="s">
        <v>66</v>
      </c>
      <c r="F651" t="s">
        <v>12</v>
      </c>
      <c r="G651">
        <v>-1</v>
      </c>
      <c r="H651">
        <v>305000</v>
      </c>
      <c r="I651">
        <v>0</v>
      </c>
      <c r="J651" t="s">
        <v>21</v>
      </c>
      <c r="K651" s="14">
        <f t="shared" si="10"/>
        <v>-305000</v>
      </c>
    </row>
    <row r="652" spans="1:11">
      <c r="A652" t="s">
        <v>738</v>
      </c>
      <c r="B652" s="2">
        <v>45252</v>
      </c>
      <c r="C652" t="s">
        <v>133</v>
      </c>
      <c r="D652" t="s">
        <v>102</v>
      </c>
      <c r="E652" t="s">
        <v>11</v>
      </c>
      <c r="F652" t="s">
        <v>62</v>
      </c>
      <c r="G652">
        <v>3</v>
      </c>
      <c r="H652">
        <v>430000</v>
      </c>
      <c r="I652">
        <v>0</v>
      </c>
      <c r="J652" t="s">
        <v>71</v>
      </c>
      <c r="K652" s="14">
        <f t="shared" si="10"/>
        <v>1290000</v>
      </c>
    </row>
    <row r="653" spans="1:11">
      <c r="A653" t="s">
        <v>739</v>
      </c>
      <c r="B653" s="2">
        <v>45013</v>
      </c>
      <c r="C653" t="s">
        <v>31</v>
      </c>
      <c r="D653" t="s">
        <v>32</v>
      </c>
      <c r="E653" t="s">
        <v>29</v>
      </c>
      <c r="F653" t="s">
        <v>68</v>
      </c>
      <c r="G653">
        <v>2</v>
      </c>
      <c r="H653">
        <v>215000</v>
      </c>
      <c r="I653">
        <v>0</v>
      </c>
      <c r="J653" t="s">
        <v>1268</v>
      </c>
      <c r="K653" s="14">
        <f t="shared" si="10"/>
        <v>430000</v>
      </c>
    </row>
    <row r="654" spans="1:11">
      <c r="A654" t="s">
        <v>740</v>
      </c>
      <c r="B654" s="2">
        <v>45161</v>
      </c>
      <c r="C654" t="s">
        <v>49</v>
      </c>
      <c r="D654" t="s">
        <v>50</v>
      </c>
      <c r="E654" t="s">
        <v>29</v>
      </c>
      <c r="F654" t="s">
        <v>62</v>
      </c>
      <c r="G654">
        <v>4</v>
      </c>
      <c r="H654">
        <v>220000</v>
      </c>
      <c r="I654">
        <v>0</v>
      </c>
      <c r="J654" t="s">
        <v>16</v>
      </c>
      <c r="K654" s="14">
        <f t="shared" si="10"/>
        <v>880000</v>
      </c>
    </row>
    <row r="655" spans="1:11">
      <c r="A655" t="s">
        <v>653</v>
      </c>
      <c r="B655" s="2">
        <v>45265</v>
      </c>
      <c r="C655" t="s">
        <v>75</v>
      </c>
      <c r="D655" t="s">
        <v>32</v>
      </c>
      <c r="E655" t="s">
        <v>29</v>
      </c>
      <c r="F655" t="s">
        <v>12</v>
      </c>
      <c r="G655">
        <v>1</v>
      </c>
      <c r="H655">
        <v>215000</v>
      </c>
      <c r="I655">
        <v>10</v>
      </c>
      <c r="J655" t="s">
        <v>71</v>
      </c>
      <c r="K655" s="14">
        <f t="shared" si="10"/>
        <v>193500</v>
      </c>
    </row>
    <row r="656" spans="1:11">
      <c r="A656" t="s">
        <v>741</v>
      </c>
      <c r="B656" s="2">
        <v>45051</v>
      </c>
      <c r="C656" t="s">
        <v>184</v>
      </c>
      <c r="D656" t="s">
        <v>110</v>
      </c>
      <c r="E656" t="s">
        <v>66</v>
      </c>
      <c r="F656" t="s">
        <v>12</v>
      </c>
      <c r="G656">
        <v>1</v>
      </c>
      <c r="H656">
        <v>335000</v>
      </c>
      <c r="I656">
        <v>10</v>
      </c>
      <c r="J656" t="s">
        <v>21</v>
      </c>
      <c r="K656" s="14">
        <f t="shared" si="10"/>
        <v>301500</v>
      </c>
    </row>
    <row r="657" spans="1:11">
      <c r="A657" t="s">
        <v>742</v>
      </c>
      <c r="B657" s="2">
        <v>44997</v>
      </c>
      <c r="C657" t="s">
        <v>215</v>
      </c>
      <c r="D657" t="s">
        <v>10</v>
      </c>
      <c r="E657" t="s">
        <v>11</v>
      </c>
      <c r="F657" t="s">
        <v>12</v>
      </c>
      <c r="G657">
        <v>3</v>
      </c>
      <c r="H657">
        <v>420000</v>
      </c>
      <c r="I657">
        <v>0</v>
      </c>
      <c r="J657" t="s">
        <v>16</v>
      </c>
      <c r="K657" s="14">
        <f t="shared" si="10"/>
        <v>1260000</v>
      </c>
    </row>
    <row r="658" spans="1:11">
      <c r="A658" t="s">
        <v>743</v>
      </c>
      <c r="B658" s="2">
        <v>45277</v>
      </c>
      <c r="C658" t="s">
        <v>147</v>
      </c>
      <c r="D658" t="s">
        <v>148</v>
      </c>
      <c r="E658" t="s">
        <v>66</v>
      </c>
      <c r="F658" t="s">
        <v>12</v>
      </c>
      <c r="G658">
        <v>-4</v>
      </c>
      <c r="H658">
        <v>305000</v>
      </c>
      <c r="I658">
        <v>0</v>
      </c>
      <c r="J658" t="s">
        <v>21</v>
      </c>
      <c r="K658" s="14">
        <f t="shared" si="10"/>
        <v>-1220000</v>
      </c>
    </row>
    <row r="659" spans="1:11">
      <c r="A659" t="s">
        <v>744</v>
      </c>
      <c r="B659" s="2">
        <v>45154</v>
      </c>
      <c r="C659" t="s">
        <v>60</v>
      </c>
      <c r="D659" t="s">
        <v>61</v>
      </c>
      <c r="E659" t="s">
        <v>20</v>
      </c>
      <c r="F659" t="s">
        <v>62</v>
      </c>
      <c r="G659">
        <v>2</v>
      </c>
      <c r="H659">
        <v>260000</v>
      </c>
      <c r="I659">
        <v>0</v>
      </c>
      <c r="J659" t="s">
        <v>41</v>
      </c>
      <c r="K659" s="14">
        <f t="shared" si="10"/>
        <v>520000</v>
      </c>
    </row>
    <row r="660" spans="1:11">
      <c r="A660" t="s">
        <v>745</v>
      </c>
      <c r="B660" s="2">
        <v>45032</v>
      </c>
      <c r="C660" t="s">
        <v>27</v>
      </c>
      <c r="D660" t="s">
        <v>28</v>
      </c>
      <c r="E660" t="s">
        <v>29</v>
      </c>
      <c r="F660" t="s">
        <v>12</v>
      </c>
      <c r="G660">
        <v>1</v>
      </c>
      <c r="H660">
        <v>210000</v>
      </c>
      <c r="I660">
        <v>0</v>
      </c>
      <c r="J660" t="s">
        <v>71</v>
      </c>
      <c r="K660" s="14">
        <f t="shared" si="10"/>
        <v>210000</v>
      </c>
    </row>
    <row r="661" spans="1:11">
      <c r="A661" t="s">
        <v>746</v>
      </c>
      <c r="B661" s="2">
        <v>45125</v>
      </c>
      <c r="C661" t="s">
        <v>60</v>
      </c>
      <c r="D661" t="s">
        <v>61</v>
      </c>
      <c r="E661" t="s">
        <v>20</v>
      </c>
      <c r="F661" t="s">
        <v>62</v>
      </c>
      <c r="G661">
        <v>1</v>
      </c>
      <c r="H661">
        <v>260000</v>
      </c>
      <c r="I661">
        <v>0</v>
      </c>
      <c r="J661" t="s">
        <v>21</v>
      </c>
      <c r="K661" s="14">
        <f t="shared" si="10"/>
        <v>260000</v>
      </c>
    </row>
    <row r="662" spans="1:11">
      <c r="A662" t="s">
        <v>747</v>
      </c>
      <c r="B662" s="2">
        <v>44998</v>
      </c>
      <c r="C662" t="s">
        <v>52</v>
      </c>
      <c r="D662" t="s">
        <v>53</v>
      </c>
      <c r="E662" t="s">
        <v>1293</v>
      </c>
      <c r="F662" t="s">
        <v>12</v>
      </c>
      <c r="G662">
        <v>2</v>
      </c>
      <c r="H662">
        <v>195000</v>
      </c>
      <c r="I662">
        <v>0</v>
      </c>
      <c r="J662" t="s">
        <v>16</v>
      </c>
      <c r="K662" s="14">
        <f t="shared" si="10"/>
        <v>390000</v>
      </c>
    </row>
    <row r="663" spans="1:11">
      <c r="A663" t="s">
        <v>748</v>
      </c>
      <c r="B663" s="2">
        <v>45144</v>
      </c>
      <c r="C663" t="s">
        <v>52</v>
      </c>
      <c r="D663" t="s">
        <v>53</v>
      </c>
      <c r="E663" t="s">
        <v>1293</v>
      </c>
      <c r="F663" t="s">
        <v>12</v>
      </c>
      <c r="G663">
        <v>1</v>
      </c>
      <c r="H663">
        <v>195000</v>
      </c>
      <c r="I663">
        <v>0</v>
      </c>
      <c r="J663" t="s">
        <v>16</v>
      </c>
      <c r="K663" s="14">
        <f t="shared" si="10"/>
        <v>195000</v>
      </c>
    </row>
    <row r="664" spans="1:11">
      <c r="A664" t="s">
        <v>749</v>
      </c>
      <c r="B664" s="2">
        <v>44997</v>
      </c>
      <c r="C664" t="s">
        <v>90</v>
      </c>
      <c r="D664" t="s">
        <v>91</v>
      </c>
      <c r="E664" t="s">
        <v>11</v>
      </c>
      <c r="F664" t="s">
        <v>12</v>
      </c>
      <c r="G664">
        <v>2</v>
      </c>
      <c r="H664">
        <v>425000</v>
      </c>
      <c r="I664">
        <v>0</v>
      </c>
      <c r="J664" t="s">
        <v>41</v>
      </c>
      <c r="K664" s="14">
        <f t="shared" si="10"/>
        <v>850000</v>
      </c>
    </row>
    <row r="665" spans="1:11">
      <c r="A665" t="s">
        <v>750</v>
      </c>
      <c r="B665" s="2">
        <v>45214</v>
      </c>
      <c r="C665" t="s">
        <v>94</v>
      </c>
      <c r="D665" t="s">
        <v>50</v>
      </c>
      <c r="E665" t="s">
        <v>29</v>
      </c>
      <c r="F665" t="s">
        <v>68</v>
      </c>
      <c r="G665">
        <v>2</v>
      </c>
      <c r="H665">
        <v>220000</v>
      </c>
      <c r="I665">
        <v>0</v>
      </c>
      <c r="J665" t="s">
        <v>16</v>
      </c>
      <c r="K665" s="14">
        <f t="shared" si="10"/>
        <v>440000</v>
      </c>
    </row>
    <row r="666" spans="1:11">
      <c r="A666" t="s">
        <v>751</v>
      </c>
      <c r="B666" s="2">
        <v>45176</v>
      </c>
      <c r="C666" t="s">
        <v>153</v>
      </c>
      <c r="D666" t="s">
        <v>83</v>
      </c>
      <c r="E666" t="s">
        <v>84</v>
      </c>
      <c r="F666" t="s">
        <v>12</v>
      </c>
      <c r="G666">
        <v>1</v>
      </c>
      <c r="H666">
        <v>395000</v>
      </c>
      <c r="I666">
        <v>0</v>
      </c>
      <c r="J666" t="s">
        <v>13</v>
      </c>
      <c r="K666" s="14">
        <f t="shared" si="10"/>
        <v>395000</v>
      </c>
    </row>
    <row r="667" spans="1:11">
      <c r="A667" t="s">
        <v>752</v>
      </c>
      <c r="B667" s="2">
        <v>45280</v>
      </c>
      <c r="C667" t="s">
        <v>122</v>
      </c>
      <c r="D667" t="s">
        <v>123</v>
      </c>
      <c r="E667" t="s">
        <v>124</v>
      </c>
      <c r="F667" t="s">
        <v>12</v>
      </c>
      <c r="G667">
        <v>4</v>
      </c>
      <c r="H667">
        <v>228000</v>
      </c>
      <c r="I667">
        <v>0</v>
      </c>
      <c r="J667" t="s">
        <v>1268</v>
      </c>
      <c r="K667" s="14">
        <f t="shared" si="10"/>
        <v>912000</v>
      </c>
    </row>
    <row r="668" spans="1:11">
      <c r="A668" t="s">
        <v>753</v>
      </c>
      <c r="B668" s="2">
        <v>45160</v>
      </c>
      <c r="C668" t="s">
        <v>228</v>
      </c>
      <c r="D668" t="s">
        <v>50</v>
      </c>
      <c r="E668" t="s">
        <v>29</v>
      </c>
      <c r="F668" t="s">
        <v>12</v>
      </c>
      <c r="G668">
        <v>3</v>
      </c>
      <c r="H668">
        <v>220000</v>
      </c>
      <c r="I668">
        <v>0</v>
      </c>
      <c r="J668" t="s">
        <v>41</v>
      </c>
      <c r="K668" s="14">
        <f t="shared" si="10"/>
        <v>660000</v>
      </c>
    </row>
    <row r="669" spans="1:11">
      <c r="A669" t="s">
        <v>754</v>
      </c>
      <c r="B669" s="2">
        <v>45207</v>
      </c>
      <c r="C669" t="s">
        <v>55</v>
      </c>
      <c r="D669" t="s">
        <v>56</v>
      </c>
      <c r="E669" t="s">
        <v>57</v>
      </c>
      <c r="F669" t="s">
        <v>62</v>
      </c>
      <c r="G669">
        <v>1</v>
      </c>
      <c r="H669">
        <v>105000</v>
      </c>
      <c r="I669">
        <v>15</v>
      </c>
      <c r="J669" t="s">
        <v>16</v>
      </c>
      <c r="K669" s="14">
        <f t="shared" si="10"/>
        <v>89250</v>
      </c>
    </row>
    <row r="670" spans="1:11">
      <c r="A670" t="s">
        <v>755</v>
      </c>
      <c r="B670" s="2">
        <v>45194</v>
      </c>
      <c r="C670" t="s">
        <v>15</v>
      </c>
      <c r="D670" t="s">
        <v>10</v>
      </c>
      <c r="E670" t="s">
        <v>11</v>
      </c>
      <c r="F670" t="s">
        <v>68</v>
      </c>
      <c r="G670">
        <v>1</v>
      </c>
      <c r="H670">
        <v>420000</v>
      </c>
      <c r="I670">
        <v>0</v>
      </c>
      <c r="J670" t="s">
        <v>21</v>
      </c>
      <c r="K670" s="14">
        <f t="shared" si="10"/>
        <v>420000</v>
      </c>
    </row>
    <row r="671" spans="1:11">
      <c r="A671" t="s">
        <v>756</v>
      </c>
      <c r="B671" s="2">
        <v>45078</v>
      </c>
      <c r="C671" t="s">
        <v>162</v>
      </c>
      <c r="D671" t="s">
        <v>56</v>
      </c>
      <c r="E671" t="s">
        <v>57</v>
      </c>
      <c r="F671" t="s">
        <v>68</v>
      </c>
      <c r="G671">
        <v>4</v>
      </c>
      <c r="H671">
        <v>105000</v>
      </c>
      <c r="I671">
        <v>0</v>
      </c>
      <c r="J671" t="s">
        <v>21</v>
      </c>
      <c r="K671" s="14">
        <f t="shared" si="10"/>
        <v>420000</v>
      </c>
    </row>
    <row r="672" spans="1:11">
      <c r="A672" t="s">
        <v>757</v>
      </c>
      <c r="B672" s="2">
        <v>45255</v>
      </c>
      <c r="C672" t="s">
        <v>162</v>
      </c>
      <c r="D672" t="s">
        <v>56</v>
      </c>
      <c r="E672" t="s">
        <v>57</v>
      </c>
      <c r="F672" t="s">
        <v>68</v>
      </c>
      <c r="G672">
        <v>1</v>
      </c>
      <c r="H672">
        <v>105000</v>
      </c>
      <c r="I672">
        <v>5</v>
      </c>
      <c r="J672" t="s">
        <v>16</v>
      </c>
      <c r="K672" s="14">
        <f t="shared" si="10"/>
        <v>99750</v>
      </c>
    </row>
    <row r="673" spans="1:11">
      <c r="A673" t="s">
        <v>758</v>
      </c>
      <c r="B673" s="2">
        <v>44930</v>
      </c>
      <c r="C673" t="s">
        <v>55</v>
      </c>
      <c r="D673" t="s">
        <v>56</v>
      </c>
      <c r="E673" t="s">
        <v>57</v>
      </c>
      <c r="F673" t="s">
        <v>62</v>
      </c>
      <c r="G673">
        <v>1</v>
      </c>
      <c r="H673">
        <v>105000</v>
      </c>
      <c r="I673">
        <v>0</v>
      </c>
      <c r="J673" t="s">
        <v>21</v>
      </c>
      <c r="K673" s="14">
        <f t="shared" si="10"/>
        <v>105000</v>
      </c>
    </row>
    <row r="674" spans="1:11">
      <c r="A674" t="s">
        <v>759</v>
      </c>
      <c r="B674" s="2">
        <v>45270</v>
      </c>
      <c r="C674" t="s">
        <v>49</v>
      </c>
      <c r="D674" t="s">
        <v>50</v>
      </c>
      <c r="E674" t="s">
        <v>29</v>
      </c>
      <c r="F674" t="s">
        <v>62</v>
      </c>
      <c r="G674">
        <v>1</v>
      </c>
      <c r="H674">
        <v>220000</v>
      </c>
      <c r="I674">
        <v>10</v>
      </c>
      <c r="J674" t="s">
        <v>21</v>
      </c>
      <c r="K674" s="14">
        <f t="shared" si="10"/>
        <v>198000</v>
      </c>
    </row>
    <row r="675" spans="1:11">
      <c r="A675" t="s">
        <v>760</v>
      </c>
      <c r="B675" s="2">
        <v>45120</v>
      </c>
      <c r="C675" t="s">
        <v>23</v>
      </c>
      <c r="D675" t="s">
        <v>24</v>
      </c>
      <c r="E675" t="s">
        <v>25</v>
      </c>
      <c r="F675" t="s">
        <v>12</v>
      </c>
      <c r="G675">
        <v>1</v>
      </c>
      <c r="H675">
        <v>182000</v>
      </c>
      <c r="I675">
        <v>0</v>
      </c>
      <c r="J675" t="s">
        <v>21</v>
      </c>
      <c r="K675" s="14">
        <f t="shared" si="10"/>
        <v>182000</v>
      </c>
    </row>
    <row r="676" spans="1:11">
      <c r="A676" t="s">
        <v>761</v>
      </c>
      <c r="B676" s="2">
        <v>45235</v>
      </c>
      <c r="C676" t="s">
        <v>173</v>
      </c>
      <c r="D676" t="s">
        <v>39</v>
      </c>
      <c r="E676" t="s">
        <v>40</v>
      </c>
      <c r="F676" t="s">
        <v>68</v>
      </c>
      <c r="G676">
        <v>2</v>
      </c>
      <c r="H676">
        <v>320000</v>
      </c>
      <c r="I676">
        <v>0</v>
      </c>
      <c r="J676" t="s">
        <v>1268</v>
      </c>
      <c r="K676" s="14">
        <f t="shared" si="10"/>
        <v>640000</v>
      </c>
    </row>
    <row r="677" spans="1:11">
      <c r="A677" t="s">
        <v>762</v>
      </c>
      <c r="B677" s="2">
        <v>44928</v>
      </c>
      <c r="C677" t="s">
        <v>52</v>
      </c>
      <c r="D677" t="s">
        <v>53</v>
      </c>
      <c r="E677" t="s">
        <v>1293</v>
      </c>
      <c r="F677" t="s">
        <v>12</v>
      </c>
      <c r="G677">
        <v>1</v>
      </c>
      <c r="H677">
        <v>195000</v>
      </c>
      <c r="I677">
        <v>0</v>
      </c>
      <c r="J677" t="s">
        <v>21</v>
      </c>
      <c r="K677" s="14">
        <f t="shared" si="10"/>
        <v>195000</v>
      </c>
    </row>
    <row r="678" spans="1:11">
      <c r="A678" t="s">
        <v>763</v>
      </c>
      <c r="B678" s="2">
        <v>45196</v>
      </c>
      <c r="C678" t="s">
        <v>27</v>
      </c>
      <c r="D678" t="s">
        <v>28</v>
      </c>
      <c r="E678" t="s">
        <v>29</v>
      </c>
      <c r="F678" t="s">
        <v>12</v>
      </c>
      <c r="G678">
        <v>1</v>
      </c>
      <c r="H678">
        <v>210000</v>
      </c>
      <c r="I678">
        <v>0</v>
      </c>
      <c r="J678" t="s">
        <v>1268</v>
      </c>
      <c r="K678" s="14">
        <f t="shared" si="10"/>
        <v>210000</v>
      </c>
    </row>
    <row r="679" spans="1:11">
      <c r="A679" t="s">
        <v>764</v>
      </c>
      <c r="B679" s="2">
        <v>44975</v>
      </c>
      <c r="C679" t="s">
        <v>31</v>
      </c>
      <c r="D679" t="s">
        <v>32</v>
      </c>
      <c r="E679" t="s">
        <v>29</v>
      </c>
      <c r="F679" t="s">
        <v>68</v>
      </c>
      <c r="G679">
        <v>4</v>
      </c>
      <c r="H679">
        <v>215000</v>
      </c>
      <c r="I679">
        <v>0</v>
      </c>
      <c r="J679" t="s">
        <v>41</v>
      </c>
      <c r="K679" s="14">
        <f t="shared" si="10"/>
        <v>860000</v>
      </c>
    </row>
    <row r="680" spans="1:11">
      <c r="A680" t="s">
        <v>765</v>
      </c>
      <c r="B680" s="2">
        <v>45263</v>
      </c>
      <c r="C680" t="s">
        <v>31</v>
      </c>
      <c r="D680" t="s">
        <v>32</v>
      </c>
      <c r="E680" t="s">
        <v>29</v>
      </c>
      <c r="F680" t="s">
        <v>68</v>
      </c>
      <c r="G680">
        <v>1</v>
      </c>
      <c r="H680">
        <v>215000</v>
      </c>
      <c r="I680">
        <v>0</v>
      </c>
      <c r="J680" t="s">
        <v>21</v>
      </c>
      <c r="K680" s="14">
        <f t="shared" si="10"/>
        <v>215000</v>
      </c>
    </row>
    <row r="681" spans="1:11">
      <c r="A681" t="s">
        <v>766</v>
      </c>
      <c r="B681" s="2">
        <v>45081</v>
      </c>
      <c r="C681" t="s">
        <v>64</v>
      </c>
      <c r="D681" t="s">
        <v>65</v>
      </c>
      <c r="E681" t="s">
        <v>66</v>
      </c>
      <c r="F681" t="s">
        <v>62</v>
      </c>
      <c r="G681">
        <v>1</v>
      </c>
      <c r="H681">
        <v>295000</v>
      </c>
      <c r="I681">
        <v>0</v>
      </c>
      <c r="J681" t="s">
        <v>71</v>
      </c>
      <c r="K681" s="14">
        <f t="shared" si="10"/>
        <v>295000</v>
      </c>
    </row>
    <row r="682" spans="1:11">
      <c r="A682" t="s">
        <v>767</v>
      </c>
      <c r="B682" s="2">
        <v>45280</v>
      </c>
      <c r="C682" t="s">
        <v>184</v>
      </c>
      <c r="D682" t="s">
        <v>110</v>
      </c>
      <c r="E682" t="s">
        <v>66</v>
      </c>
      <c r="F682" t="s">
        <v>12</v>
      </c>
      <c r="G682">
        <v>4</v>
      </c>
      <c r="H682">
        <v>335000</v>
      </c>
      <c r="I682">
        <v>5</v>
      </c>
      <c r="J682" t="s">
        <v>16</v>
      </c>
      <c r="K682" s="14">
        <f t="shared" si="10"/>
        <v>1273000</v>
      </c>
    </row>
    <row r="683" spans="1:11">
      <c r="A683" t="s">
        <v>768</v>
      </c>
      <c r="B683" s="2">
        <v>44977</v>
      </c>
      <c r="C683" t="s">
        <v>46</v>
      </c>
      <c r="D683" t="s">
        <v>44</v>
      </c>
      <c r="E683" t="s">
        <v>1290</v>
      </c>
      <c r="F683" t="s">
        <v>12</v>
      </c>
      <c r="G683">
        <v>1</v>
      </c>
      <c r="H683">
        <v>235000</v>
      </c>
      <c r="I683">
        <v>0</v>
      </c>
      <c r="J683" t="s">
        <v>21</v>
      </c>
      <c r="K683" s="14">
        <f t="shared" si="10"/>
        <v>235000</v>
      </c>
    </row>
    <row r="684" spans="1:11">
      <c r="A684" t="s">
        <v>769</v>
      </c>
      <c r="B684" s="2">
        <v>45179</v>
      </c>
      <c r="C684" t="s">
        <v>27</v>
      </c>
      <c r="D684" t="s">
        <v>28</v>
      </c>
      <c r="E684" t="s">
        <v>29</v>
      </c>
      <c r="F684" t="s">
        <v>12</v>
      </c>
      <c r="G684">
        <v>3</v>
      </c>
      <c r="H684">
        <v>210000</v>
      </c>
      <c r="I684">
        <v>0</v>
      </c>
      <c r="J684" t="s">
        <v>16</v>
      </c>
      <c r="K684" s="14">
        <f t="shared" si="10"/>
        <v>630000</v>
      </c>
    </row>
    <row r="685" spans="1:11">
      <c r="A685" t="s">
        <v>770</v>
      </c>
      <c r="B685" s="2">
        <v>45055</v>
      </c>
      <c r="C685" t="s">
        <v>133</v>
      </c>
      <c r="D685" t="s">
        <v>102</v>
      </c>
      <c r="E685" t="s">
        <v>11</v>
      </c>
      <c r="F685" t="s">
        <v>62</v>
      </c>
      <c r="G685">
        <v>1</v>
      </c>
      <c r="H685">
        <v>430000</v>
      </c>
      <c r="I685">
        <v>0</v>
      </c>
      <c r="J685" t="s">
        <v>21</v>
      </c>
      <c r="K685" s="14">
        <f t="shared" si="10"/>
        <v>430000</v>
      </c>
    </row>
    <row r="686" spans="1:11">
      <c r="A686" t="s">
        <v>771</v>
      </c>
      <c r="B686" s="2">
        <v>45218</v>
      </c>
      <c r="C686" t="s">
        <v>38</v>
      </c>
      <c r="D686" t="s">
        <v>39</v>
      </c>
      <c r="E686" t="s">
        <v>40</v>
      </c>
      <c r="F686" t="s">
        <v>12</v>
      </c>
      <c r="G686">
        <v>2</v>
      </c>
      <c r="H686">
        <v>320000</v>
      </c>
      <c r="I686">
        <v>5</v>
      </c>
      <c r="J686" t="s">
        <v>16</v>
      </c>
      <c r="K686" s="14">
        <f t="shared" si="10"/>
        <v>608000</v>
      </c>
    </row>
    <row r="687" spans="1:11">
      <c r="A687" t="s">
        <v>772</v>
      </c>
      <c r="B687" s="2">
        <v>45130</v>
      </c>
      <c r="C687" t="s">
        <v>60</v>
      </c>
      <c r="D687" t="s">
        <v>61</v>
      </c>
      <c r="E687" t="s">
        <v>20</v>
      </c>
      <c r="F687" t="s">
        <v>62</v>
      </c>
      <c r="G687">
        <v>5</v>
      </c>
      <c r="H687">
        <v>260000</v>
      </c>
      <c r="I687">
        <v>0</v>
      </c>
      <c r="J687" t="s">
        <v>16</v>
      </c>
      <c r="K687" s="14">
        <f t="shared" si="10"/>
        <v>1300000</v>
      </c>
    </row>
    <row r="688" spans="1:11">
      <c r="A688" t="s">
        <v>773</v>
      </c>
      <c r="B688" s="2">
        <v>45082</v>
      </c>
      <c r="C688" t="s">
        <v>75</v>
      </c>
      <c r="D688" t="s">
        <v>32</v>
      </c>
      <c r="E688" t="s">
        <v>29</v>
      </c>
      <c r="F688" t="s">
        <v>12</v>
      </c>
      <c r="G688">
        <v>2</v>
      </c>
      <c r="H688">
        <v>215000</v>
      </c>
      <c r="I688">
        <v>0</v>
      </c>
      <c r="J688" t="s">
        <v>21</v>
      </c>
      <c r="K688" s="14">
        <f t="shared" ref="K688:K750" si="11">G688*H688*(1-I688/100)</f>
        <v>430000</v>
      </c>
    </row>
    <row r="689" spans="1:11">
      <c r="A689" t="s">
        <v>774</v>
      </c>
      <c r="B689" s="2">
        <v>45081</v>
      </c>
      <c r="C689" t="s">
        <v>64</v>
      </c>
      <c r="D689" t="s">
        <v>65</v>
      </c>
      <c r="E689" t="s">
        <v>66</v>
      </c>
      <c r="F689" t="s">
        <v>62</v>
      </c>
      <c r="G689">
        <v>2</v>
      </c>
      <c r="H689">
        <v>295000</v>
      </c>
      <c r="I689">
        <v>0</v>
      </c>
      <c r="J689" t="s">
        <v>21</v>
      </c>
      <c r="K689" s="14">
        <f t="shared" si="11"/>
        <v>590000</v>
      </c>
    </row>
    <row r="690" spans="1:11">
      <c r="A690" t="s">
        <v>775</v>
      </c>
      <c r="B690" s="2">
        <v>45058</v>
      </c>
      <c r="C690" t="s">
        <v>27</v>
      </c>
      <c r="D690" t="s">
        <v>28</v>
      </c>
      <c r="E690" t="s">
        <v>29</v>
      </c>
      <c r="F690" t="s">
        <v>12</v>
      </c>
      <c r="G690">
        <v>2</v>
      </c>
      <c r="H690">
        <v>210000</v>
      </c>
      <c r="I690">
        <v>15</v>
      </c>
      <c r="J690" t="s">
        <v>16</v>
      </c>
      <c r="K690" s="14">
        <f t="shared" si="11"/>
        <v>357000</v>
      </c>
    </row>
    <row r="691" spans="1:11">
      <c r="A691" t="s">
        <v>776</v>
      </c>
      <c r="B691" s="2">
        <v>45266</v>
      </c>
      <c r="C691" t="s">
        <v>34</v>
      </c>
      <c r="D691" t="s">
        <v>35</v>
      </c>
      <c r="E691" t="s">
        <v>36</v>
      </c>
      <c r="F691" t="s">
        <v>12</v>
      </c>
      <c r="G691">
        <v>2</v>
      </c>
      <c r="H691">
        <v>198000</v>
      </c>
      <c r="I691">
        <v>0</v>
      </c>
      <c r="J691" t="s">
        <v>41</v>
      </c>
      <c r="K691" s="14">
        <f t="shared" si="11"/>
        <v>396000</v>
      </c>
    </row>
    <row r="692" spans="1:11">
      <c r="A692" t="s">
        <v>777</v>
      </c>
      <c r="B692" s="2">
        <v>45263</v>
      </c>
      <c r="C692" t="s">
        <v>139</v>
      </c>
      <c r="D692" t="s">
        <v>61</v>
      </c>
      <c r="E692" t="s">
        <v>20</v>
      </c>
      <c r="F692" t="s">
        <v>1268</v>
      </c>
      <c r="G692">
        <v>-1</v>
      </c>
      <c r="H692">
        <v>260000</v>
      </c>
      <c r="I692">
        <v>10</v>
      </c>
      <c r="J692" t="s">
        <v>13</v>
      </c>
      <c r="K692" s="14">
        <f t="shared" si="11"/>
        <v>-234000</v>
      </c>
    </row>
    <row r="693" spans="1:11">
      <c r="A693" t="s">
        <v>778</v>
      </c>
      <c r="B693" s="2">
        <v>45284</v>
      </c>
      <c r="C693" t="s">
        <v>173</v>
      </c>
      <c r="D693" t="s">
        <v>39</v>
      </c>
      <c r="E693" t="s">
        <v>40</v>
      </c>
      <c r="F693" t="s">
        <v>68</v>
      </c>
      <c r="G693">
        <v>1</v>
      </c>
      <c r="H693">
        <v>320000</v>
      </c>
      <c r="I693">
        <v>0</v>
      </c>
      <c r="J693" t="s">
        <v>71</v>
      </c>
      <c r="K693" s="14">
        <f t="shared" si="11"/>
        <v>320000</v>
      </c>
    </row>
    <row r="694" spans="1:11">
      <c r="A694" t="s">
        <v>779</v>
      </c>
      <c r="B694" s="2">
        <v>45220</v>
      </c>
      <c r="C694" t="s">
        <v>27</v>
      </c>
      <c r="D694" t="s">
        <v>28</v>
      </c>
      <c r="E694" t="s">
        <v>29</v>
      </c>
      <c r="F694" t="s">
        <v>12</v>
      </c>
      <c r="G694">
        <v>1</v>
      </c>
      <c r="H694">
        <v>210000</v>
      </c>
      <c r="I694">
        <v>0</v>
      </c>
      <c r="J694" t="s">
        <v>21</v>
      </c>
      <c r="K694" s="14">
        <f t="shared" si="11"/>
        <v>210000</v>
      </c>
    </row>
    <row r="695" spans="1:11">
      <c r="A695" t="s">
        <v>780</v>
      </c>
      <c r="B695" s="2">
        <v>45199</v>
      </c>
      <c r="C695" t="s">
        <v>46</v>
      </c>
      <c r="D695" t="s">
        <v>44</v>
      </c>
      <c r="E695" t="s">
        <v>1290</v>
      </c>
      <c r="F695" t="s">
        <v>12</v>
      </c>
      <c r="G695">
        <v>1</v>
      </c>
      <c r="H695">
        <v>235000</v>
      </c>
      <c r="I695">
        <v>0</v>
      </c>
      <c r="J695" t="s">
        <v>1268</v>
      </c>
      <c r="K695" s="14">
        <f t="shared" si="11"/>
        <v>235000</v>
      </c>
    </row>
    <row r="696" spans="1:11">
      <c r="A696" t="s">
        <v>781</v>
      </c>
      <c r="B696" s="2">
        <v>45283</v>
      </c>
      <c r="C696" t="s">
        <v>119</v>
      </c>
      <c r="D696" t="s">
        <v>120</v>
      </c>
      <c r="E696" t="s">
        <v>11</v>
      </c>
      <c r="F696" t="s">
        <v>68</v>
      </c>
      <c r="G696">
        <v>2</v>
      </c>
      <c r="H696">
        <v>440000</v>
      </c>
      <c r="I696">
        <v>0</v>
      </c>
      <c r="J696" t="s">
        <v>16</v>
      </c>
      <c r="K696" s="14">
        <f t="shared" si="11"/>
        <v>880000</v>
      </c>
    </row>
    <row r="697" spans="1:11">
      <c r="A697" t="s">
        <v>782</v>
      </c>
      <c r="B697" s="2">
        <v>45199</v>
      </c>
      <c r="C697" t="s">
        <v>147</v>
      </c>
      <c r="D697" t="s">
        <v>148</v>
      </c>
      <c r="E697" t="s">
        <v>66</v>
      </c>
      <c r="F697" t="s">
        <v>12</v>
      </c>
      <c r="G697">
        <v>1</v>
      </c>
      <c r="H697">
        <v>305000</v>
      </c>
      <c r="I697">
        <v>15</v>
      </c>
      <c r="J697" t="s">
        <v>71</v>
      </c>
      <c r="K697" s="14">
        <f t="shared" si="11"/>
        <v>259250</v>
      </c>
    </row>
    <row r="698" spans="1:11">
      <c r="A698" t="s">
        <v>783</v>
      </c>
      <c r="B698" s="2">
        <v>45187</v>
      </c>
      <c r="C698" t="s">
        <v>228</v>
      </c>
      <c r="D698" t="s">
        <v>50</v>
      </c>
      <c r="E698" t="s">
        <v>29</v>
      </c>
      <c r="F698" t="s">
        <v>12</v>
      </c>
      <c r="G698">
        <v>3</v>
      </c>
      <c r="H698">
        <v>220000</v>
      </c>
      <c r="I698">
        <v>0</v>
      </c>
      <c r="J698" t="s">
        <v>16</v>
      </c>
      <c r="K698" s="14">
        <f t="shared" si="11"/>
        <v>660000</v>
      </c>
    </row>
    <row r="699" spans="1:11">
      <c r="A699" t="s">
        <v>784</v>
      </c>
      <c r="B699" s="2">
        <v>45252</v>
      </c>
      <c r="C699" t="s">
        <v>215</v>
      </c>
      <c r="D699" t="s">
        <v>10</v>
      </c>
      <c r="E699" t="s">
        <v>11</v>
      </c>
      <c r="F699" t="s">
        <v>12</v>
      </c>
      <c r="G699">
        <v>4</v>
      </c>
      <c r="H699">
        <v>420000</v>
      </c>
      <c r="I699">
        <v>0</v>
      </c>
      <c r="J699" t="s">
        <v>47</v>
      </c>
      <c r="K699" s="14">
        <f t="shared" si="11"/>
        <v>1680000</v>
      </c>
    </row>
    <row r="700" spans="1:11">
      <c r="A700" t="s">
        <v>785</v>
      </c>
      <c r="B700" s="2">
        <v>45182</v>
      </c>
      <c r="C700" t="s">
        <v>299</v>
      </c>
      <c r="D700" t="s">
        <v>120</v>
      </c>
      <c r="E700" t="s">
        <v>11</v>
      </c>
      <c r="F700" t="s">
        <v>12</v>
      </c>
      <c r="G700">
        <v>2</v>
      </c>
      <c r="H700">
        <v>440000</v>
      </c>
      <c r="I700">
        <v>0</v>
      </c>
      <c r="J700" t="s">
        <v>71</v>
      </c>
      <c r="K700" s="14">
        <f t="shared" si="11"/>
        <v>880000</v>
      </c>
    </row>
    <row r="701" spans="1:11">
      <c r="A701" t="s">
        <v>786</v>
      </c>
      <c r="B701" s="2">
        <v>45091</v>
      </c>
      <c r="C701" t="s">
        <v>250</v>
      </c>
      <c r="D701" t="s">
        <v>53</v>
      </c>
      <c r="E701" t="s">
        <v>36</v>
      </c>
      <c r="F701" t="s">
        <v>62</v>
      </c>
      <c r="G701">
        <v>1</v>
      </c>
      <c r="H701">
        <v>195000</v>
      </c>
      <c r="I701">
        <v>0</v>
      </c>
      <c r="J701" t="s">
        <v>1268</v>
      </c>
      <c r="K701" s="14">
        <f t="shared" si="11"/>
        <v>195000</v>
      </c>
    </row>
    <row r="702" spans="1:11">
      <c r="A702" t="s">
        <v>787</v>
      </c>
      <c r="B702" s="2">
        <v>45035</v>
      </c>
      <c r="C702" t="s">
        <v>55</v>
      </c>
      <c r="D702" t="s">
        <v>56</v>
      </c>
      <c r="E702" t="s">
        <v>57</v>
      </c>
      <c r="F702" t="s">
        <v>62</v>
      </c>
      <c r="G702">
        <v>1</v>
      </c>
      <c r="H702">
        <v>105000</v>
      </c>
      <c r="I702">
        <v>5</v>
      </c>
      <c r="J702" t="s">
        <v>21</v>
      </c>
      <c r="K702" s="14">
        <f t="shared" si="11"/>
        <v>99750</v>
      </c>
    </row>
    <row r="703" spans="1:11">
      <c r="A703" t="s">
        <v>788</v>
      </c>
      <c r="B703" s="2">
        <v>45281</v>
      </c>
      <c r="C703" t="s">
        <v>96</v>
      </c>
      <c r="D703" t="s">
        <v>97</v>
      </c>
      <c r="E703" t="s">
        <v>98</v>
      </c>
      <c r="F703" t="s">
        <v>1268</v>
      </c>
      <c r="G703">
        <v>1</v>
      </c>
      <c r="H703">
        <v>170000</v>
      </c>
      <c r="I703">
        <v>10</v>
      </c>
      <c r="J703" t="s">
        <v>21</v>
      </c>
      <c r="K703" s="14">
        <f t="shared" si="11"/>
        <v>153000</v>
      </c>
    </row>
    <row r="704" spans="1:11">
      <c r="A704" t="s">
        <v>789</v>
      </c>
      <c r="B704" s="2">
        <v>45059</v>
      </c>
      <c r="C704" t="s">
        <v>52</v>
      </c>
      <c r="D704" t="s">
        <v>53</v>
      </c>
      <c r="E704" t="s">
        <v>1293</v>
      </c>
      <c r="F704" t="s">
        <v>12</v>
      </c>
      <c r="G704">
        <v>1</v>
      </c>
      <c r="H704">
        <v>195000</v>
      </c>
      <c r="I704">
        <v>0</v>
      </c>
      <c r="J704" t="s">
        <v>16</v>
      </c>
      <c r="K704" s="14">
        <f t="shared" si="11"/>
        <v>195000</v>
      </c>
    </row>
    <row r="705" spans="1:11">
      <c r="A705" t="s">
        <v>790</v>
      </c>
      <c r="B705" s="2">
        <v>45071</v>
      </c>
      <c r="C705" t="s">
        <v>131</v>
      </c>
      <c r="D705" t="s">
        <v>132</v>
      </c>
      <c r="E705" t="s">
        <v>20</v>
      </c>
      <c r="F705" t="s">
        <v>12</v>
      </c>
      <c r="G705">
        <v>1</v>
      </c>
      <c r="H705">
        <v>280000</v>
      </c>
      <c r="I705">
        <v>0</v>
      </c>
      <c r="J705" t="s">
        <v>16</v>
      </c>
      <c r="K705" s="14">
        <f t="shared" si="11"/>
        <v>280000</v>
      </c>
    </row>
    <row r="706" spans="1:11">
      <c r="A706" t="s">
        <v>740</v>
      </c>
      <c r="B706" s="2">
        <v>45161</v>
      </c>
      <c r="C706" t="s">
        <v>49</v>
      </c>
      <c r="D706" t="s">
        <v>50</v>
      </c>
      <c r="E706" t="s">
        <v>29</v>
      </c>
      <c r="F706" t="s">
        <v>62</v>
      </c>
      <c r="G706">
        <v>4</v>
      </c>
      <c r="H706">
        <v>220000</v>
      </c>
      <c r="I706">
        <v>0</v>
      </c>
      <c r="J706" t="s">
        <v>16</v>
      </c>
      <c r="K706" s="14">
        <f t="shared" si="11"/>
        <v>880000</v>
      </c>
    </row>
    <row r="707" spans="1:11">
      <c r="A707" t="s">
        <v>791</v>
      </c>
      <c r="B707" s="2">
        <v>44960</v>
      </c>
      <c r="C707" t="s">
        <v>139</v>
      </c>
      <c r="D707" t="s">
        <v>61</v>
      </c>
      <c r="E707" t="s">
        <v>20</v>
      </c>
      <c r="F707" t="s">
        <v>12</v>
      </c>
      <c r="G707">
        <v>1</v>
      </c>
      <c r="H707">
        <v>260000</v>
      </c>
      <c r="I707">
        <v>0</v>
      </c>
      <c r="J707" t="s">
        <v>21</v>
      </c>
      <c r="K707" s="14">
        <f t="shared" si="11"/>
        <v>260000</v>
      </c>
    </row>
    <row r="708" spans="1:11">
      <c r="A708" t="s">
        <v>792</v>
      </c>
      <c r="B708" s="2">
        <v>45256</v>
      </c>
      <c r="C708" t="s">
        <v>49</v>
      </c>
      <c r="D708" t="s">
        <v>50</v>
      </c>
      <c r="E708" t="s">
        <v>29</v>
      </c>
      <c r="F708" t="s">
        <v>62</v>
      </c>
      <c r="G708">
        <v>2</v>
      </c>
      <c r="H708">
        <v>220000</v>
      </c>
      <c r="I708">
        <v>0</v>
      </c>
      <c r="J708" t="s">
        <v>287</v>
      </c>
      <c r="K708" s="14">
        <f t="shared" si="11"/>
        <v>440000</v>
      </c>
    </row>
    <row r="709" spans="1:11">
      <c r="A709" t="s">
        <v>793</v>
      </c>
      <c r="B709" s="2">
        <v>44970</v>
      </c>
      <c r="C709" t="s">
        <v>131</v>
      </c>
      <c r="D709" t="s">
        <v>132</v>
      </c>
      <c r="E709" t="s">
        <v>20</v>
      </c>
      <c r="F709" t="s">
        <v>12</v>
      </c>
      <c r="G709">
        <v>1</v>
      </c>
      <c r="H709">
        <v>280000</v>
      </c>
      <c r="I709">
        <v>0</v>
      </c>
      <c r="J709" t="s">
        <v>16</v>
      </c>
      <c r="K709" s="14">
        <f t="shared" si="11"/>
        <v>280000</v>
      </c>
    </row>
    <row r="710" spans="1:11">
      <c r="A710" t="s">
        <v>794</v>
      </c>
      <c r="B710" s="2">
        <v>45020</v>
      </c>
      <c r="C710" t="s">
        <v>108</v>
      </c>
      <c r="D710" t="s">
        <v>56</v>
      </c>
      <c r="E710" t="s">
        <v>57</v>
      </c>
      <c r="F710" t="s">
        <v>12</v>
      </c>
      <c r="G710">
        <v>1</v>
      </c>
      <c r="H710">
        <v>105000</v>
      </c>
      <c r="I710">
        <v>0</v>
      </c>
      <c r="J710" t="s">
        <v>21</v>
      </c>
      <c r="K710" s="14">
        <f t="shared" si="11"/>
        <v>105000</v>
      </c>
    </row>
    <row r="711" spans="1:11">
      <c r="A711" t="s">
        <v>795</v>
      </c>
      <c r="B711" s="2">
        <v>44960</v>
      </c>
      <c r="C711" t="s">
        <v>131</v>
      </c>
      <c r="D711" t="s">
        <v>132</v>
      </c>
      <c r="E711" t="s">
        <v>20</v>
      </c>
      <c r="F711" t="s">
        <v>12</v>
      </c>
      <c r="G711">
        <v>1</v>
      </c>
      <c r="H711">
        <v>280000</v>
      </c>
      <c r="I711">
        <v>0</v>
      </c>
      <c r="J711" t="s">
        <v>71</v>
      </c>
      <c r="K711" s="14">
        <f t="shared" si="11"/>
        <v>280000</v>
      </c>
    </row>
    <row r="712" spans="1:11">
      <c r="A712" t="s">
        <v>796</v>
      </c>
      <c r="B712" s="2">
        <v>45274</v>
      </c>
      <c r="C712" t="s">
        <v>228</v>
      </c>
      <c r="D712" t="s">
        <v>50</v>
      </c>
      <c r="E712" t="s">
        <v>29</v>
      </c>
      <c r="F712" t="s">
        <v>12</v>
      </c>
      <c r="G712">
        <v>1</v>
      </c>
      <c r="H712">
        <v>220000</v>
      </c>
      <c r="I712">
        <v>0</v>
      </c>
      <c r="J712" t="s">
        <v>21</v>
      </c>
      <c r="K712" s="14">
        <f t="shared" si="11"/>
        <v>220000</v>
      </c>
    </row>
    <row r="713" spans="1:11">
      <c r="A713" t="s">
        <v>797</v>
      </c>
      <c r="B713" s="2">
        <v>45052</v>
      </c>
      <c r="C713" t="s">
        <v>242</v>
      </c>
      <c r="D713" t="s">
        <v>97</v>
      </c>
      <c r="E713" t="s">
        <v>98</v>
      </c>
      <c r="F713" t="s">
        <v>62</v>
      </c>
      <c r="G713">
        <v>5</v>
      </c>
      <c r="H713">
        <v>170000</v>
      </c>
      <c r="I713">
        <v>0</v>
      </c>
      <c r="J713" t="s">
        <v>71</v>
      </c>
      <c r="K713" s="14">
        <f t="shared" si="11"/>
        <v>850000</v>
      </c>
    </row>
    <row r="714" spans="1:11">
      <c r="A714" t="s">
        <v>798</v>
      </c>
      <c r="B714" s="2">
        <v>45035</v>
      </c>
      <c r="C714" t="s">
        <v>153</v>
      </c>
      <c r="D714" t="s">
        <v>83</v>
      </c>
      <c r="E714" t="s">
        <v>84</v>
      </c>
      <c r="F714" t="s">
        <v>12</v>
      </c>
      <c r="G714">
        <v>5</v>
      </c>
      <c r="H714">
        <v>395000</v>
      </c>
      <c r="I714">
        <v>0</v>
      </c>
      <c r="J714" t="s">
        <v>1268</v>
      </c>
      <c r="K714" s="14">
        <f t="shared" si="11"/>
        <v>1975000</v>
      </c>
    </row>
    <row r="715" spans="1:11">
      <c r="A715" t="s">
        <v>799</v>
      </c>
      <c r="B715" s="2">
        <v>45247</v>
      </c>
      <c r="C715" t="s">
        <v>49</v>
      </c>
      <c r="D715" t="s">
        <v>50</v>
      </c>
      <c r="E715" t="s">
        <v>29</v>
      </c>
      <c r="F715" t="s">
        <v>62</v>
      </c>
      <c r="G715">
        <v>1</v>
      </c>
      <c r="H715">
        <v>220000</v>
      </c>
      <c r="I715">
        <v>0</v>
      </c>
      <c r="J715" t="s">
        <v>16</v>
      </c>
      <c r="K715" s="14">
        <f t="shared" si="11"/>
        <v>220000</v>
      </c>
    </row>
    <row r="716" spans="1:11">
      <c r="A716" t="s">
        <v>800</v>
      </c>
      <c r="B716" s="2">
        <v>45098</v>
      </c>
      <c r="C716" t="s">
        <v>94</v>
      </c>
      <c r="D716" t="s">
        <v>50</v>
      </c>
      <c r="E716" t="s">
        <v>29</v>
      </c>
      <c r="F716" t="s">
        <v>68</v>
      </c>
      <c r="G716">
        <v>2</v>
      </c>
      <c r="H716">
        <v>220000</v>
      </c>
      <c r="I716">
        <v>0</v>
      </c>
      <c r="J716" t="s">
        <v>21</v>
      </c>
      <c r="K716" s="14">
        <f t="shared" si="11"/>
        <v>440000</v>
      </c>
    </row>
    <row r="717" spans="1:11">
      <c r="A717" t="s">
        <v>801</v>
      </c>
      <c r="B717" s="2">
        <v>44962</v>
      </c>
      <c r="C717" t="s">
        <v>38</v>
      </c>
      <c r="D717" t="s">
        <v>39</v>
      </c>
      <c r="E717" t="s">
        <v>40</v>
      </c>
      <c r="F717" t="s">
        <v>12</v>
      </c>
      <c r="G717">
        <v>2</v>
      </c>
      <c r="H717">
        <v>320000</v>
      </c>
      <c r="I717">
        <v>10</v>
      </c>
      <c r="J717" t="s">
        <v>16</v>
      </c>
      <c r="K717" s="14">
        <f t="shared" si="11"/>
        <v>576000</v>
      </c>
    </row>
    <row r="718" spans="1:11">
      <c r="A718" t="s">
        <v>802</v>
      </c>
      <c r="B718" s="2">
        <v>45231</v>
      </c>
      <c r="C718" t="s">
        <v>119</v>
      </c>
      <c r="D718" t="s">
        <v>120</v>
      </c>
      <c r="E718" t="s">
        <v>11</v>
      </c>
      <c r="F718" t="s">
        <v>68</v>
      </c>
      <c r="G718">
        <v>2</v>
      </c>
      <c r="H718">
        <v>440000</v>
      </c>
      <c r="I718">
        <v>10</v>
      </c>
      <c r="J718" t="s">
        <v>16</v>
      </c>
      <c r="K718" s="14">
        <f t="shared" si="11"/>
        <v>792000</v>
      </c>
    </row>
    <row r="719" spans="1:11">
      <c r="A719" t="s">
        <v>803</v>
      </c>
      <c r="B719" s="2">
        <v>45249</v>
      </c>
      <c r="C719" t="s">
        <v>90</v>
      </c>
      <c r="D719" t="s">
        <v>91</v>
      </c>
      <c r="E719" t="s">
        <v>11</v>
      </c>
      <c r="F719" t="s">
        <v>12</v>
      </c>
      <c r="G719">
        <v>1</v>
      </c>
      <c r="H719">
        <v>425000</v>
      </c>
      <c r="I719">
        <v>0</v>
      </c>
      <c r="J719" t="s">
        <v>41</v>
      </c>
      <c r="K719" s="14">
        <f t="shared" si="11"/>
        <v>425000</v>
      </c>
    </row>
    <row r="720" spans="1:11">
      <c r="A720" t="s">
        <v>804</v>
      </c>
      <c r="B720" s="2">
        <v>45124</v>
      </c>
      <c r="C720" t="s">
        <v>96</v>
      </c>
      <c r="D720" t="s">
        <v>97</v>
      </c>
      <c r="E720" t="s">
        <v>98</v>
      </c>
      <c r="F720" t="s">
        <v>12</v>
      </c>
      <c r="G720">
        <v>1</v>
      </c>
      <c r="H720">
        <v>170000</v>
      </c>
      <c r="I720">
        <v>0</v>
      </c>
      <c r="J720" t="s">
        <v>1268</v>
      </c>
      <c r="K720" s="14">
        <f t="shared" si="11"/>
        <v>170000</v>
      </c>
    </row>
    <row r="721" spans="1:11">
      <c r="A721" t="s">
        <v>805</v>
      </c>
      <c r="B721" s="2">
        <v>45142</v>
      </c>
      <c r="C721" t="s">
        <v>49</v>
      </c>
      <c r="D721" t="s">
        <v>50</v>
      </c>
      <c r="E721" t="s">
        <v>29</v>
      </c>
      <c r="F721" t="s">
        <v>62</v>
      </c>
      <c r="G721">
        <v>1</v>
      </c>
      <c r="H721">
        <v>220000</v>
      </c>
      <c r="I721">
        <v>20</v>
      </c>
      <c r="J721" t="s">
        <v>21</v>
      </c>
      <c r="K721" s="14">
        <f t="shared" si="11"/>
        <v>176000</v>
      </c>
    </row>
    <row r="722" spans="1:11">
      <c r="A722" t="s">
        <v>806</v>
      </c>
      <c r="B722" s="2">
        <v>45028</v>
      </c>
      <c r="C722" t="s">
        <v>49</v>
      </c>
      <c r="D722" t="s">
        <v>50</v>
      </c>
      <c r="E722" t="s">
        <v>29</v>
      </c>
      <c r="F722" t="s">
        <v>62</v>
      </c>
      <c r="G722">
        <v>1</v>
      </c>
      <c r="H722">
        <v>220000</v>
      </c>
      <c r="I722">
        <v>0</v>
      </c>
      <c r="J722" t="s">
        <v>21</v>
      </c>
      <c r="K722" s="14">
        <f t="shared" si="11"/>
        <v>220000</v>
      </c>
    </row>
    <row r="723" spans="1:11">
      <c r="A723" t="s">
        <v>807</v>
      </c>
      <c r="B723" s="2">
        <v>44987</v>
      </c>
      <c r="C723" t="s">
        <v>52</v>
      </c>
      <c r="D723" t="s">
        <v>53</v>
      </c>
      <c r="E723" t="s">
        <v>1293</v>
      </c>
      <c r="F723" t="s">
        <v>12</v>
      </c>
      <c r="G723">
        <v>2</v>
      </c>
      <c r="H723">
        <v>195000</v>
      </c>
      <c r="I723">
        <v>0</v>
      </c>
      <c r="J723" t="s">
        <v>71</v>
      </c>
      <c r="K723" s="14">
        <f t="shared" si="11"/>
        <v>390000</v>
      </c>
    </row>
    <row r="724" spans="1:11">
      <c r="A724" t="s">
        <v>808</v>
      </c>
      <c r="B724" s="2">
        <v>45250</v>
      </c>
      <c r="C724" t="s">
        <v>299</v>
      </c>
      <c r="D724" t="s">
        <v>120</v>
      </c>
      <c r="E724" t="s">
        <v>11</v>
      </c>
      <c r="F724" t="s">
        <v>12</v>
      </c>
      <c r="G724">
        <v>1</v>
      </c>
      <c r="H724">
        <v>440000</v>
      </c>
      <c r="I724">
        <v>0</v>
      </c>
      <c r="J724" t="s">
        <v>21</v>
      </c>
      <c r="K724" s="14">
        <f t="shared" si="11"/>
        <v>440000</v>
      </c>
    </row>
    <row r="725" spans="1:11">
      <c r="A725" t="s">
        <v>809</v>
      </c>
      <c r="B725" s="2">
        <v>45000</v>
      </c>
      <c r="C725" t="s">
        <v>31</v>
      </c>
      <c r="D725" t="s">
        <v>32</v>
      </c>
      <c r="E725" t="s">
        <v>29</v>
      </c>
      <c r="F725" t="s">
        <v>1268</v>
      </c>
      <c r="G725">
        <v>3</v>
      </c>
      <c r="H725">
        <v>215000</v>
      </c>
      <c r="I725">
        <v>0</v>
      </c>
      <c r="J725" t="s">
        <v>21</v>
      </c>
      <c r="K725" s="14">
        <f t="shared" si="11"/>
        <v>645000</v>
      </c>
    </row>
    <row r="726" spans="1:11">
      <c r="A726" t="s">
        <v>810</v>
      </c>
      <c r="B726" s="2">
        <v>44980</v>
      </c>
      <c r="C726" t="s">
        <v>299</v>
      </c>
      <c r="D726" t="s">
        <v>120</v>
      </c>
      <c r="E726" t="s">
        <v>11</v>
      </c>
      <c r="F726" t="s">
        <v>12</v>
      </c>
      <c r="G726">
        <v>1</v>
      </c>
      <c r="H726">
        <v>440000</v>
      </c>
      <c r="I726">
        <v>10</v>
      </c>
      <c r="J726" t="s">
        <v>71</v>
      </c>
      <c r="K726" s="14">
        <f t="shared" si="11"/>
        <v>396000</v>
      </c>
    </row>
    <row r="727" spans="1:11">
      <c r="A727" t="s">
        <v>811</v>
      </c>
      <c r="B727" s="2">
        <v>44982</v>
      </c>
      <c r="C727" t="s">
        <v>64</v>
      </c>
      <c r="D727" t="s">
        <v>65</v>
      </c>
      <c r="E727" t="s">
        <v>66</v>
      </c>
      <c r="F727" t="s">
        <v>62</v>
      </c>
      <c r="G727">
        <v>1</v>
      </c>
      <c r="H727">
        <v>295000</v>
      </c>
      <c r="I727">
        <v>0</v>
      </c>
      <c r="J727" t="s">
        <v>21</v>
      </c>
      <c r="K727" s="14">
        <f t="shared" si="11"/>
        <v>295000</v>
      </c>
    </row>
    <row r="728" spans="1:11">
      <c r="A728" t="s">
        <v>812</v>
      </c>
      <c r="B728" s="2">
        <v>44969</v>
      </c>
      <c r="C728" t="s">
        <v>43</v>
      </c>
      <c r="D728" t="s">
        <v>44</v>
      </c>
      <c r="E728" t="s">
        <v>29</v>
      </c>
      <c r="F728" t="s">
        <v>68</v>
      </c>
      <c r="G728">
        <v>1</v>
      </c>
      <c r="H728">
        <v>235000</v>
      </c>
      <c r="I728">
        <v>0</v>
      </c>
      <c r="J728" t="s">
        <v>41</v>
      </c>
      <c r="K728" s="14">
        <f t="shared" si="11"/>
        <v>235000</v>
      </c>
    </row>
    <row r="729" spans="1:11">
      <c r="A729" t="s">
        <v>813</v>
      </c>
      <c r="B729" s="2">
        <v>45113</v>
      </c>
      <c r="C729" t="s">
        <v>34</v>
      </c>
      <c r="D729" t="s">
        <v>35</v>
      </c>
      <c r="E729" t="s">
        <v>36</v>
      </c>
      <c r="F729" t="s">
        <v>12</v>
      </c>
      <c r="G729">
        <v>3</v>
      </c>
      <c r="H729">
        <v>198000</v>
      </c>
      <c r="I729">
        <v>0</v>
      </c>
      <c r="J729" t="s">
        <v>16</v>
      </c>
      <c r="K729" s="14">
        <f t="shared" si="11"/>
        <v>594000</v>
      </c>
    </row>
    <row r="730" spans="1:11">
      <c r="A730" t="s">
        <v>814</v>
      </c>
      <c r="B730" s="2">
        <v>45101</v>
      </c>
      <c r="C730" t="s">
        <v>299</v>
      </c>
      <c r="D730" t="s">
        <v>120</v>
      </c>
      <c r="E730" t="s">
        <v>11</v>
      </c>
      <c r="F730" t="s">
        <v>12</v>
      </c>
      <c r="G730">
        <v>2</v>
      </c>
      <c r="H730">
        <v>440000</v>
      </c>
      <c r="I730">
        <v>0</v>
      </c>
      <c r="J730" t="s">
        <v>21</v>
      </c>
      <c r="K730" s="14">
        <f t="shared" si="11"/>
        <v>880000</v>
      </c>
    </row>
    <row r="731" spans="1:11">
      <c r="A731" t="s">
        <v>815</v>
      </c>
      <c r="B731" s="2">
        <v>45150</v>
      </c>
      <c r="C731" t="s">
        <v>162</v>
      </c>
      <c r="D731" t="s">
        <v>56</v>
      </c>
      <c r="E731" t="s">
        <v>57</v>
      </c>
      <c r="F731" t="s">
        <v>68</v>
      </c>
      <c r="G731">
        <v>2</v>
      </c>
      <c r="H731">
        <v>105000</v>
      </c>
      <c r="I731">
        <v>0</v>
      </c>
      <c r="J731" t="s">
        <v>41</v>
      </c>
      <c r="K731" s="14">
        <f t="shared" si="11"/>
        <v>210000</v>
      </c>
    </row>
    <row r="732" spans="1:11">
      <c r="A732" t="s">
        <v>816</v>
      </c>
      <c r="B732" s="2">
        <v>44940</v>
      </c>
      <c r="C732" t="s">
        <v>64</v>
      </c>
      <c r="D732" t="s">
        <v>65</v>
      </c>
      <c r="E732" t="s">
        <v>66</v>
      </c>
      <c r="F732" t="s">
        <v>62</v>
      </c>
      <c r="G732">
        <v>1</v>
      </c>
      <c r="H732">
        <v>295000</v>
      </c>
      <c r="I732">
        <v>0</v>
      </c>
      <c r="J732" t="s">
        <v>21</v>
      </c>
      <c r="K732" s="14">
        <f t="shared" si="11"/>
        <v>295000</v>
      </c>
    </row>
    <row r="733" spans="1:11">
      <c r="A733" t="s">
        <v>817</v>
      </c>
      <c r="B733" s="2">
        <v>45225</v>
      </c>
      <c r="C733" t="s">
        <v>119</v>
      </c>
      <c r="D733" t="s">
        <v>120</v>
      </c>
      <c r="E733" t="s">
        <v>11</v>
      </c>
      <c r="F733" t="s">
        <v>68</v>
      </c>
      <c r="G733">
        <v>2</v>
      </c>
      <c r="H733">
        <v>440000</v>
      </c>
      <c r="I733">
        <v>0</v>
      </c>
      <c r="J733" t="s">
        <v>16</v>
      </c>
      <c r="K733" s="14">
        <f t="shared" si="11"/>
        <v>880000</v>
      </c>
    </row>
    <row r="734" spans="1:11">
      <c r="A734" t="s">
        <v>818</v>
      </c>
      <c r="B734" s="2">
        <v>45233</v>
      </c>
      <c r="C734" t="s">
        <v>122</v>
      </c>
      <c r="D734" t="s">
        <v>123</v>
      </c>
      <c r="E734" t="s">
        <v>124</v>
      </c>
      <c r="F734" t="s">
        <v>12</v>
      </c>
      <c r="G734">
        <v>1</v>
      </c>
      <c r="H734">
        <v>228000</v>
      </c>
      <c r="I734">
        <v>15</v>
      </c>
      <c r="J734" t="s">
        <v>21</v>
      </c>
      <c r="K734" s="14">
        <f t="shared" si="11"/>
        <v>193800</v>
      </c>
    </row>
    <row r="735" spans="1:11">
      <c r="A735" t="s">
        <v>819</v>
      </c>
      <c r="B735" s="2">
        <v>45084</v>
      </c>
      <c r="C735" t="s">
        <v>133</v>
      </c>
      <c r="D735" t="s">
        <v>102</v>
      </c>
      <c r="E735" t="s">
        <v>11</v>
      </c>
      <c r="F735" t="s">
        <v>1268</v>
      </c>
      <c r="G735">
        <v>2</v>
      </c>
      <c r="H735">
        <v>430000</v>
      </c>
      <c r="I735">
        <v>15</v>
      </c>
      <c r="J735" t="s">
        <v>71</v>
      </c>
      <c r="K735" s="14">
        <f t="shared" si="11"/>
        <v>731000</v>
      </c>
    </row>
    <row r="736" spans="1:11">
      <c r="A736" t="s">
        <v>820</v>
      </c>
      <c r="B736" s="2">
        <v>44960</v>
      </c>
      <c r="C736" t="s">
        <v>38</v>
      </c>
      <c r="D736" t="s">
        <v>39</v>
      </c>
      <c r="E736" t="s">
        <v>40</v>
      </c>
      <c r="F736" t="s">
        <v>12</v>
      </c>
      <c r="G736">
        <v>1</v>
      </c>
      <c r="H736">
        <v>320000</v>
      </c>
      <c r="I736">
        <v>0</v>
      </c>
      <c r="J736" t="s">
        <v>16</v>
      </c>
      <c r="K736" s="14">
        <f t="shared" si="11"/>
        <v>320000</v>
      </c>
    </row>
    <row r="737" spans="1:11">
      <c r="A737" t="s">
        <v>821</v>
      </c>
      <c r="B737" s="2">
        <v>45070</v>
      </c>
      <c r="C737" t="s">
        <v>104</v>
      </c>
      <c r="D737" t="s">
        <v>105</v>
      </c>
      <c r="E737" t="s">
        <v>29</v>
      </c>
      <c r="F737" t="s">
        <v>12</v>
      </c>
      <c r="G737">
        <v>2</v>
      </c>
      <c r="H737">
        <v>210000</v>
      </c>
      <c r="I737">
        <v>0</v>
      </c>
      <c r="J737" t="s">
        <v>16</v>
      </c>
      <c r="K737" s="14">
        <f t="shared" si="11"/>
        <v>420000</v>
      </c>
    </row>
    <row r="738" spans="1:11">
      <c r="A738" t="s">
        <v>822</v>
      </c>
      <c r="B738" s="2">
        <v>45020</v>
      </c>
      <c r="C738" t="s">
        <v>34</v>
      </c>
      <c r="D738" t="s">
        <v>35</v>
      </c>
      <c r="E738" t="s">
        <v>36</v>
      </c>
      <c r="F738" t="s">
        <v>12</v>
      </c>
      <c r="G738">
        <v>1</v>
      </c>
      <c r="H738">
        <v>198000</v>
      </c>
      <c r="I738">
        <v>0</v>
      </c>
      <c r="J738" t="s">
        <v>71</v>
      </c>
      <c r="K738" s="14">
        <f t="shared" si="11"/>
        <v>198000</v>
      </c>
    </row>
    <row r="739" spans="1:11">
      <c r="A739" t="s">
        <v>823</v>
      </c>
      <c r="B739" s="2">
        <v>44949</v>
      </c>
      <c r="C739" t="s">
        <v>94</v>
      </c>
      <c r="D739" t="s">
        <v>50</v>
      </c>
      <c r="E739" t="s">
        <v>29</v>
      </c>
      <c r="F739" t="s">
        <v>68</v>
      </c>
      <c r="G739">
        <v>3</v>
      </c>
      <c r="H739">
        <v>220000</v>
      </c>
      <c r="I739">
        <v>0</v>
      </c>
      <c r="J739" t="s">
        <v>21</v>
      </c>
      <c r="K739" s="14">
        <f t="shared" si="11"/>
        <v>660000</v>
      </c>
    </row>
    <row r="740" spans="1:11">
      <c r="A740" t="s">
        <v>824</v>
      </c>
      <c r="B740" s="2">
        <v>45025</v>
      </c>
      <c r="C740" t="s">
        <v>153</v>
      </c>
      <c r="D740" t="s">
        <v>83</v>
      </c>
      <c r="E740" t="s">
        <v>84</v>
      </c>
      <c r="F740" t="s">
        <v>12</v>
      </c>
      <c r="G740">
        <v>3</v>
      </c>
      <c r="H740">
        <v>395000</v>
      </c>
      <c r="I740">
        <v>0</v>
      </c>
      <c r="J740" t="s">
        <v>16</v>
      </c>
      <c r="K740" s="14">
        <f t="shared" si="11"/>
        <v>1185000</v>
      </c>
    </row>
    <row r="741" spans="1:11">
      <c r="A741" t="s">
        <v>825</v>
      </c>
      <c r="B741" s="2">
        <v>45058</v>
      </c>
      <c r="C741" t="s">
        <v>27</v>
      </c>
      <c r="D741" t="s">
        <v>28</v>
      </c>
      <c r="E741" t="s">
        <v>29</v>
      </c>
      <c r="F741" t="s">
        <v>1268</v>
      </c>
      <c r="G741">
        <v>2</v>
      </c>
      <c r="H741">
        <v>210000</v>
      </c>
      <c r="I741">
        <v>0</v>
      </c>
      <c r="J741" t="s">
        <v>16</v>
      </c>
      <c r="K741" s="14">
        <f t="shared" si="11"/>
        <v>420000</v>
      </c>
    </row>
    <row r="742" spans="1:11">
      <c r="A742" t="s">
        <v>826</v>
      </c>
      <c r="B742" s="2">
        <v>45218</v>
      </c>
      <c r="C742" t="s">
        <v>131</v>
      </c>
      <c r="D742" t="s">
        <v>132</v>
      </c>
      <c r="E742" t="s">
        <v>20</v>
      </c>
      <c r="F742" t="s">
        <v>12</v>
      </c>
      <c r="G742">
        <v>4</v>
      </c>
      <c r="H742">
        <v>280000</v>
      </c>
      <c r="I742">
        <v>10</v>
      </c>
      <c r="J742" t="s">
        <v>71</v>
      </c>
      <c r="K742" s="14">
        <f t="shared" si="11"/>
        <v>1008000</v>
      </c>
    </row>
    <row r="743" spans="1:11">
      <c r="A743" t="s">
        <v>827</v>
      </c>
      <c r="B743" s="2">
        <v>44931</v>
      </c>
      <c r="C743" t="s">
        <v>131</v>
      </c>
      <c r="D743" t="s">
        <v>132</v>
      </c>
      <c r="E743" t="s">
        <v>20</v>
      </c>
      <c r="F743" t="s">
        <v>12</v>
      </c>
      <c r="G743">
        <v>4</v>
      </c>
      <c r="H743">
        <v>280000</v>
      </c>
      <c r="I743">
        <v>0</v>
      </c>
      <c r="J743" t="s">
        <v>21</v>
      </c>
      <c r="K743" s="14">
        <f t="shared" si="11"/>
        <v>1120000</v>
      </c>
    </row>
    <row r="744" spans="1:11">
      <c r="A744" t="s">
        <v>828</v>
      </c>
      <c r="B744" s="2">
        <v>44986</v>
      </c>
      <c r="C744" t="s">
        <v>60</v>
      </c>
      <c r="D744" t="s">
        <v>61</v>
      </c>
      <c r="E744" t="s">
        <v>20</v>
      </c>
      <c r="F744" t="s">
        <v>62</v>
      </c>
      <c r="G744">
        <v>1</v>
      </c>
      <c r="H744">
        <v>260000</v>
      </c>
      <c r="I744">
        <v>20</v>
      </c>
      <c r="J744" t="s">
        <v>16</v>
      </c>
      <c r="K744" s="14">
        <f t="shared" si="11"/>
        <v>208000</v>
      </c>
    </row>
    <row r="745" spans="1:11">
      <c r="A745" t="s">
        <v>829</v>
      </c>
      <c r="B745" s="2">
        <v>45185</v>
      </c>
      <c r="C745" t="s">
        <v>43</v>
      </c>
      <c r="D745" t="s">
        <v>44</v>
      </c>
      <c r="E745" t="s">
        <v>29</v>
      </c>
      <c r="F745" t="s">
        <v>68</v>
      </c>
      <c r="G745">
        <v>1</v>
      </c>
      <c r="H745">
        <v>235000</v>
      </c>
      <c r="I745">
        <v>0</v>
      </c>
      <c r="J745" t="s">
        <v>41</v>
      </c>
      <c r="K745" s="14">
        <f t="shared" si="11"/>
        <v>235000</v>
      </c>
    </row>
    <row r="746" spans="1:11">
      <c r="A746" t="s">
        <v>830</v>
      </c>
      <c r="B746" s="2">
        <v>45113</v>
      </c>
      <c r="C746" t="s">
        <v>88</v>
      </c>
      <c r="D746" t="s">
        <v>10</v>
      </c>
      <c r="E746" t="s">
        <v>11</v>
      </c>
      <c r="F746" t="s">
        <v>62</v>
      </c>
      <c r="G746">
        <v>1</v>
      </c>
      <c r="H746">
        <v>420000</v>
      </c>
      <c r="I746">
        <v>0</v>
      </c>
      <c r="J746" t="s">
        <v>16</v>
      </c>
      <c r="K746" s="14">
        <f t="shared" si="11"/>
        <v>420000</v>
      </c>
    </row>
    <row r="747" spans="1:11">
      <c r="A747" t="s">
        <v>831</v>
      </c>
      <c r="B747" s="2">
        <v>45284</v>
      </c>
      <c r="C747" t="s">
        <v>108</v>
      </c>
      <c r="D747" t="s">
        <v>56</v>
      </c>
      <c r="E747" t="s">
        <v>57</v>
      </c>
      <c r="F747" t="s">
        <v>12</v>
      </c>
      <c r="G747">
        <v>2</v>
      </c>
      <c r="H747">
        <v>105000</v>
      </c>
      <c r="I747">
        <v>10</v>
      </c>
      <c r="J747" t="s">
        <v>16</v>
      </c>
      <c r="K747" s="14">
        <f t="shared" si="11"/>
        <v>189000</v>
      </c>
    </row>
    <row r="748" spans="1:11">
      <c r="A748" t="s">
        <v>832</v>
      </c>
      <c r="B748" s="2">
        <v>45113</v>
      </c>
      <c r="C748" t="s">
        <v>90</v>
      </c>
      <c r="D748" t="s">
        <v>91</v>
      </c>
      <c r="E748" t="s">
        <v>11</v>
      </c>
      <c r="F748" t="s">
        <v>1268</v>
      </c>
      <c r="G748">
        <v>1</v>
      </c>
      <c r="H748">
        <v>425000</v>
      </c>
      <c r="I748">
        <v>10</v>
      </c>
      <c r="J748" t="s">
        <v>21</v>
      </c>
      <c r="K748" s="14">
        <f t="shared" si="11"/>
        <v>382500</v>
      </c>
    </row>
    <row r="749" spans="1:11">
      <c r="A749" t="s">
        <v>833</v>
      </c>
      <c r="B749" s="2">
        <v>44955</v>
      </c>
      <c r="C749" t="s">
        <v>133</v>
      </c>
      <c r="D749" t="s">
        <v>102</v>
      </c>
      <c r="E749" t="s">
        <v>11</v>
      </c>
      <c r="F749" t="s">
        <v>62</v>
      </c>
      <c r="G749">
        <v>1</v>
      </c>
      <c r="H749">
        <v>430000</v>
      </c>
      <c r="I749">
        <v>0</v>
      </c>
      <c r="J749" t="s">
        <v>16</v>
      </c>
      <c r="K749" s="14">
        <f t="shared" si="11"/>
        <v>430000</v>
      </c>
    </row>
    <row r="750" spans="1:11">
      <c r="A750" t="s">
        <v>834</v>
      </c>
      <c r="B750" s="2">
        <v>45197</v>
      </c>
      <c r="C750" t="s">
        <v>119</v>
      </c>
      <c r="D750" t="s">
        <v>120</v>
      </c>
      <c r="E750" t="s">
        <v>11</v>
      </c>
      <c r="F750" t="s">
        <v>68</v>
      </c>
      <c r="G750">
        <v>1</v>
      </c>
      <c r="H750">
        <v>440000</v>
      </c>
      <c r="I750">
        <v>0</v>
      </c>
      <c r="J750" t="s">
        <v>21</v>
      </c>
      <c r="K750" s="14">
        <f t="shared" si="11"/>
        <v>440000</v>
      </c>
    </row>
    <row r="751" spans="1:11">
      <c r="A751" t="s">
        <v>835</v>
      </c>
      <c r="B751" s="2">
        <v>44944</v>
      </c>
      <c r="C751" t="s">
        <v>82</v>
      </c>
      <c r="D751" t="s">
        <v>83</v>
      </c>
      <c r="E751" t="s">
        <v>84</v>
      </c>
      <c r="F751" t="s">
        <v>68</v>
      </c>
      <c r="G751">
        <v>2</v>
      </c>
      <c r="H751">
        <v>395000</v>
      </c>
      <c r="I751">
        <v>0</v>
      </c>
      <c r="J751" t="s">
        <v>41</v>
      </c>
      <c r="K751" s="14">
        <f t="shared" ref="K751:K813" si="12">G751*H751*(1-I751/100)</f>
        <v>790000</v>
      </c>
    </row>
    <row r="752" spans="1:11">
      <c r="A752" t="s">
        <v>836</v>
      </c>
      <c r="B752" s="2">
        <v>45059</v>
      </c>
      <c r="C752" t="s">
        <v>131</v>
      </c>
      <c r="D752" t="s">
        <v>132</v>
      </c>
      <c r="E752" t="s">
        <v>20</v>
      </c>
      <c r="F752" t="s">
        <v>12</v>
      </c>
      <c r="G752">
        <v>2</v>
      </c>
      <c r="H752">
        <v>280000</v>
      </c>
      <c r="I752">
        <v>0</v>
      </c>
      <c r="J752" t="s">
        <v>41</v>
      </c>
      <c r="K752" s="14">
        <f t="shared" si="12"/>
        <v>560000</v>
      </c>
    </row>
    <row r="753" spans="1:11">
      <c r="A753" t="s">
        <v>837</v>
      </c>
      <c r="B753" s="2">
        <v>44939</v>
      </c>
      <c r="C753" t="s">
        <v>153</v>
      </c>
      <c r="D753" t="s">
        <v>83</v>
      </c>
      <c r="E753" t="s">
        <v>84</v>
      </c>
      <c r="F753" t="s">
        <v>12</v>
      </c>
      <c r="G753">
        <v>5</v>
      </c>
      <c r="H753">
        <v>395000</v>
      </c>
      <c r="I753">
        <v>0</v>
      </c>
      <c r="J753" t="s">
        <v>16</v>
      </c>
      <c r="K753" s="14">
        <f t="shared" si="12"/>
        <v>1975000</v>
      </c>
    </row>
    <row r="754" spans="1:11">
      <c r="A754" t="s">
        <v>838</v>
      </c>
      <c r="B754" s="2">
        <v>45036</v>
      </c>
      <c r="C754" t="s">
        <v>60</v>
      </c>
      <c r="D754" t="s">
        <v>61</v>
      </c>
      <c r="E754" t="s">
        <v>20</v>
      </c>
      <c r="F754" t="s">
        <v>62</v>
      </c>
      <c r="G754">
        <v>3</v>
      </c>
      <c r="H754">
        <v>260000</v>
      </c>
      <c r="I754">
        <v>0</v>
      </c>
      <c r="J754" t="s">
        <v>41</v>
      </c>
      <c r="K754" s="14">
        <f t="shared" si="12"/>
        <v>780000</v>
      </c>
    </row>
    <row r="755" spans="1:11">
      <c r="A755" t="s">
        <v>839</v>
      </c>
      <c r="B755" s="2">
        <v>45135</v>
      </c>
      <c r="C755" t="s">
        <v>131</v>
      </c>
      <c r="D755" t="s">
        <v>132</v>
      </c>
      <c r="E755" t="s">
        <v>20</v>
      </c>
      <c r="F755" t="s">
        <v>12</v>
      </c>
      <c r="G755">
        <v>2</v>
      </c>
      <c r="H755">
        <v>280000</v>
      </c>
      <c r="I755">
        <v>0</v>
      </c>
      <c r="J755" t="s">
        <v>21</v>
      </c>
      <c r="K755" s="14">
        <f t="shared" si="12"/>
        <v>560000</v>
      </c>
    </row>
    <row r="756" spans="1:11">
      <c r="A756" t="s">
        <v>840</v>
      </c>
      <c r="B756" s="2">
        <v>45135</v>
      </c>
      <c r="C756" t="s">
        <v>299</v>
      </c>
      <c r="D756" t="s">
        <v>120</v>
      </c>
      <c r="E756" t="s">
        <v>11</v>
      </c>
      <c r="F756" t="s">
        <v>12</v>
      </c>
      <c r="G756">
        <v>1</v>
      </c>
      <c r="H756">
        <v>440000</v>
      </c>
      <c r="I756">
        <v>0</v>
      </c>
      <c r="J756" t="s">
        <v>41</v>
      </c>
      <c r="K756" s="14">
        <f t="shared" si="12"/>
        <v>440000</v>
      </c>
    </row>
    <row r="757" spans="1:11">
      <c r="A757" t="s">
        <v>841</v>
      </c>
      <c r="B757" s="2">
        <v>44997</v>
      </c>
      <c r="C757" t="s">
        <v>88</v>
      </c>
      <c r="D757" t="s">
        <v>10</v>
      </c>
      <c r="E757" t="s">
        <v>11</v>
      </c>
      <c r="F757" t="s">
        <v>62</v>
      </c>
      <c r="G757">
        <v>4</v>
      </c>
      <c r="H757">
        <v>420000</v>
      </c>
      <c r="I757">
        <v>0</v>
      </c>
      <c r="J757" t="s">
        <v>21</v>
      </c>
      <c r="K757" s="14">
        <f t="shared" si="12"/>
        <v>1680000</v>
      </c>
    </row>
    <row r="758" spans="1:11">
      <c r="A758" t="s">
        <v>842</v>
      </c>
      <c r="B758" s="2">
        <v>45175</v>
      </c>
      <c r="C758" t="s">
        <v>38</v>
      </c>
      <c r="D758" t="s">
        <v>39</v>
      </c>
      <c r="E758" t="s">
        <v>40</v>
      </c>
      <c r="F758" t="s">
        <v>12</v>
      </c>
      <c r="G758">
        <v>1</v>
      </c>
      <c r="H758">
        <v>320000</v>
      </c>
      <c r="I758">
        <v>0</v>
      </c>
      <c r="J758" t="s">
        <v>21</v>
      </c>
      <c r="K758" s="14">
        <f t="shared" si="12"/>
        <v>320000</v>
      </c>
    </row>
    <row r="759" spans="1:11">
      <c r="A759" t="s">
        <v>843</v>
      </c>
      <c r="B759" s="2">
        <v>45153</v>
      </c>
      <c r="C759" t="s">
        <v>94</v>
      </c>
      <c r="D759" t="s">
        <v>50</v>
      </c>
      <c r="E759" t="s">
        <v>29</v>
      </c>
      <c r="F759" t="s">
        <v>68</v>
      </c>
      <c r="G759">
        <v>1</v>
      </c>
      <c r="H759">
        <v>220000</v>
      </c>
      <c r="I759">
        <v>10</v>
      </c>
      <c r="J759" t="s">
        <v>21</v>
      </c>
      <c r="K759" s="14">
        <f t="shared" si="12"/>
        <v>198000</v>
      </c>
    </row>
    <row r="760" spans="1:11">
      <c r="A760" t="s">
        <v>844</v>
      </c>
      <c r="B760" s="2">
        <v>45021</v>
      </c>
      <c r="C760" t="s">
        <v>153</v>
      </c>
      <c r="D760" t="s">
        <v>83</v>
      </c>
      <c r="E760" t="s">
        <v>84</v>
      </c>
      <c r="F760" t="s">
        <v>12</v>
      </c>
      <c r="G760">
        <v>-1</v>
      </c>
      <c r="H760">
        <v>395000</v>
      </c>
      <c r="I760">
        <v>5</v>
      </c>
      <c r="J760" t="s">
        <v>21</v>
      </c>
      <c r="K760" s="14">
        <f t="shared" si="12"/>
        <v>-375250</v>
      </c>
    </row>
    <row r="761" spans="1:11">
      <c r="A761" t="s">
        <v>845</v>
      </c>
      <c r="B761" s="2">
        <v>45172</v>
      </c>
      <c r="C761" t="s">
        <v>104</v>
      </c>
      <c r="D761" t="s">
        <v>105</v>
      </c>
      <c r="E761" t="s">
        <v>29</v>
      </c>
      <c r="F761" t="s">
        <v>12</v>
      </c>
      <c r="G761">
        <v>4</v>
      </c>
      <c r="H761">
        <v>210000</v>
      </c>
      <c r="I761">
        <v>0</v>
      </c>
      <c r="J761" t="s">
        <v>71</v>
      </c>
      <c r="K761" s="14">
        <f t="shared" si="12"/>
        <v>840000</v>
      </c>
    </row>
    <row r="762" spans="1:11">
      <c r="A762" t="s">
        <v>846</v>
      </c>
      <c r="B762" s="2">
        <v>45116</v>
      </c>
      <c r="C762" t="s">
        <v>144</v>
      </c>
      <c r="D762" t="s">
        <v>142</v>
      </c>
      <c r="E762" t="s">
        <v>66</v>
      </c>
      <c r="F762" t="s">
        <v>12</v>
      </c>
      <c r="G762">
        <v>1</v>
      </c>
      <c r="H762">
        <v>330000</v>
      </c>
      <c r="I762">
        <v>0</v>
      </c>
      <c r="J762" t="s">
        <v>21</v>
      </c>
      <c r="K762" s="14">
        <f t="shared" si="12"/>
        <v>330000</v>
      </c>
    </row>
    <row r="763" spans="1:11">
      <c r="A763" t="s">
        <v>847</v>
      </c>
      <c r="B763" s="2">
        <v>45079</v>
      </c>
      <c r="C763" t="s">
        <v>299</v>
      </c>
      <c r="D763" t="s">
        <v>120</v>
      </c>
      <c r="E763" t="s">
        <v>11</v>
      </c>
      <c r="F763" t="s">
        <v>12</v>
      </c>
      <c r="G763">
        <v>2</v>
      </c>
      <c r="H763">
        <v>440000</v>
      </c>
      <c r="I763">
        <v>0</v>
      </c>
      <c r="J763" t="s">
        <v>21</v>
      </c>
      <c r="K763" s="14">
        <f t="shared" si="12"/>
        <v>880000</v>
      </c>
    </row>
    <row r="764" spans="1:11">
      <c r="A764" t="s">
        <v>848</v>
      </c>
      <c r="B764" s="2">
        <v>45273</v>
      </c>
      <c r="C764" t="s">
        <v>15</v>
      </c>
      <c r="D764" t="s">
        <v>10</v>
      </c>
      <c r="E764" t="s">
        <v>11</v>
      </c>
      <c r="F764" t="s">
        <v>68</v>
      </c>
      <c r="G764">
        <v>3</v>
      </c>
      <c r="H764">
        <v>420000</v>
      </c>
      <c r="I764">
        <v>0</v>
      </c>
      <c r="J764" t="s">
        <v>287</v>
      </c>
      <c r="K764" s="14">
        <f t="shared" si="12"/>
        <v>1260000</v>
      </c>
    </row>
    <row r="765" spans="1:11">
      <c r="A765" t="s">
        <v>849</v>
      </c>
      <c r="B765" s="2">
        <v>45089</v>
      </c>
      <c r="C765" t="s">
        <v>215</v>
      </c>
      <c r="D765" t="s">
        <v>10</v>
      </c>
      <c r="E765" t="s">
        <v>11</v>
      </c>
      <c r="F765" t="s">
        <v>12</v>
      </c>
      <c r="G765">
        <v>1</v>
      </c>
      <c r="H765">
        <v>420000</v>
      </c>
      <c r="I765">
        <v>0</v>
      </c>
      <c r="J765" t="s">
        <v>21</v>
      </c>
      <c r="K765" s="14">
        <f t="shared" si="12"/>
        <v>420000</v>
      </c>
    </row>
    <row r="766" spans="1:11">
      <c r="A766" t="s">
        <v>850</v>
      </c>
      <c r="B766" s="2">
        <v>45022</v>
      </c>
      <c r="C766" t="s">
        <v>82</v>
      </c>
      <c r="D766" t="s">
        <v>83</v>
      </c>
      <c r="E766" t="s">
        <v>84</v>
      </c>
      <c r="F766" t="s">
        <v>68</v>
      </c>
      <c r="G766">
        <v>1</v>
      </c>
      <c r="H766">
        <v>395000</v>
      </c>
      <c r="I766">
        <v>0</v>
      </c>
      <c r="J766" t="s">
        <v>16</v>
      </c>
      <c r="K766" s="14">
        <f t="shared" si="12"/>
        <v>395000</v>
      </c>
    </row>
    <row r="767" spans="1:11">
      <c r="A767" t="s">
        <v>851</v>
      </c>
      <c r="B767" s="2">
        <v>45258</v>
      </c>
      <c r="C767" t="s">
        <v>153</v>
      </c>
      <c r="D767" t="s">
        <v>83</v>
      </c>
      <c r="E767" t="s">
        <v>84</v>
      </c>
      <c r="F767" t="s">
        <v>12</v>
      </c>
      <c r="G767">
        <v>1</v>
      </c>
      <c r="H767">
        <v>395000</v>
      </c>
      <c r="I767">
        <v>5</v>
      </c>
      <c r="J767" t="s">
        <v>16</v>
      </c>
      <c r="K767" s="14">
        <f t="shared" si="12"/>
        <v>375250</v>
      </c>
    </row>
    <row r="768" spans="1:11">
      <c r="A768" t="s">
        <v>852</v>
      </c>
      <c r="B768" s="2">
        <v>45275</v>
      </c>
      <c r="C768" t="s">
        <v>299</v>
      </c>
      <c r="D768" t="s">
        <v>120</v>
      </c>
      <c r="E768" t="s">
        <v>11</v>
      </c>
      <c r="F768" t="s">
        <v>12</v>
      </c>
      <c r="G768">
        <v>4</v>
      </c>
      <c r="H768">
        <v>440000</v>
      </c>
      <c r="I768">
        <v>0</v>
      </c>
      <c r="J768" t="s">
        <v>16</v>
      </c>
      <c r="K768" s="14">
        <f t="shared" si="12"/>
        <v>1760000</v>
      </c>
    </row>
    <row r="769" spans="1:11">
      <c r="A769" t="s">
        <v>853</v>
      </c>
      <c r="B769" s="2">
        <v>45005</v>
      </c>
      <c r="C769" t="s">
        <v>139</v>
      </c>
      <c r="D769" t="s">
        <v>61</v>
      </c>
      <c r="E769" t="s">
        <v>20</v>
      </c>
      <c r="F769" t="s">
        <v>1268</v>
      </c>
      <c r="G769">
        <v>1</v>
      </c>
      <c r="H769">
        <v>260000</v>
      </c>
      <c r="I769">
        <v>0</v>
      </c>
      <c r="J769" t="s">
        <v>71</v>
      </c>
      <c r="K769" s="14">
        <f t="shared" si="12"/>
        <v>260000</v>
      </c>
    </row>
    <row r="770" spans="1:11">
      <c r="A770" t="s">
        <v>854</v>
      </c>
      <c r="B770" s="2">
        <v>45115</v>
      </c>
      <c r="C770" t="s">
        <v>250</v>
      </c>
      <c r="D770" t="s">
        <v>53</v>
      </c>
      <c r="E770" t="s">
        <v>36</v>
      </c>
      <c r="F770" t="s">
        <v>62</v>
      </c>
      <c r="G770">
        <v>4</v>
      </c>
      <c r="H770">
        <v>195000</v>
      </c>
      <c r="I770">
        <v>0</v>
      </c>
      <c r="J770" t="s">
        <v>1268</v>
      </c>
      <c r="K770" s="14">
        <f t="shared" si="12"/>
        <v>780000</v>
      </c>
    </row>
    <row r="771" spans="1:11">
      <c r="A771" t="s">
        <v>855</v>
      </c>
      <c r="B771" s="2">
        <v>45215</v>
      </c>
      <c r="C771" t="s">
        <v>153</v>
      </c>
      <c r="D771" t="s">
        <v>83</v>
      </c>
      <c r="E771" t="s">
        <v>84</v>
      </c>
      <c r="F771" t="s">
        <v>12</v>
      </c>
      <c r="G771">
        <v>1</v>
      </c>
      <c r="H771">
        <v>395000</v>
      </c>
      <c r="I771">
        <v>0</v>
      </c>
      <c r="J771" t="s">
        <v>71</v>
      </c>
      <c r="K771" s="14">
        <f t="shared" si="12"/>
        <v>395000</v>
      </c>
    </row>
    <row r="772" spans="1:11">
      <c r="A772" t="s">
        <v>856</v>
      </c>
      <c r="B772" s="2">
        <v>44941</v>
      </c>
      <c r="C772" t="s">
        <v>173</v>
      </c>
      <c r="D772" t="s">
        <v>39</v>
      </c>
      <c r="E772" t="s">
        <v>40</v>
      </c>
      <c r="F772" t="s">
        <v>68</v>
      </c>
      <c r="G772">
        <v>3</v>
      </c>
      <c r="H772">
        <v>320000</v>
      </c>
      <c r="I772">
        <v>0</v>
      </c>
      <c r="J772" t="s">
        <v>21</v>
      </c>
      <c r="K772" s="14">
        <f t="shared" si="12"/>
        <v>960000</v>
      </c>
    </row>
    <row r="773" spans="1:11">
      <c r="A773" t="s">
        <v>857</v>
      </c>
      <c r="B773" s="2">
        <v>45099</v>
      </c>
      <c r="C773" t="s">
        <v>60</v>
      </c>
      <c r="D773" t="s">
        <v>61</v>
      </c>
      <c r="E773" t="s">
        <v>20</v>
      </c>
      <c r="F773" t="s">
        <v>62</v>
      </c>
      <c r="G773">
        <v>1</v>
      </c>
      <c r="H773">
        <v>260000</v>
      </c>
      <c r="I773">
        <v>0</v>
      </c>
      <c r="J773" t="s">
        <v>16</v>
      </c>
      <c r="K773" s="14">
        <f t="shared" si="12"/>
        <v>260000</v>
      </c>
    </row>
    <row r="774" spans="1:11">
      <c r="A774" t="s">
        <v>858</v>
      </c>
      <c r="B774" s="2">
        <v>45193</v>
      </c>
      <c r="C774" t="s">
        <v>242</v>
      </c>
      <c r="D774" t="s">
        <v>97</v>
      </c>
      <c r="E774" t="s">
        <v>98</v>
      </c>
      <c r="F774" t="s">
        <v>62</v>
      </c>
      <c r="G774">
        <v>1</v>
      </c>
      <c r="H774">
        <v>170000</v>
      </c>
      <c r="I774">
        <v>0</v>
      </c>
      <c r="J774" t="s">
        <v>21</v>
      </c>
      <c r="K774" s="14">
        <f t="shared" si="12"/>
        <v>170000</v>
      </c>
    </row>
    <row r="775" spans="1:11">
      <c r="A775" t="s">
        <v>859</v>
      </c>
      <c r="B775" s="2">
        <v>45000</v>
      </c>
      <c r="C775" t="s">
        <v>70</v>
      </c>
      <c r="D775" t="s">
        <v>65</v>
      </c>
      <c r="E775" t="s">
        <v>66</v>
      </c>
      <c r="F775" t="s">
        <v>12</v>
      </c>
      <c r="G775">
        <v>1</v>
      </c>
      <c r="H775">
        <v>295000</v>
      </c>
      <c r="I775">
        <v>0</v>
      </c>
      <c r="J775" t="s">
        <v>16</v>
      </c>
      <c r="K775" s="14">
        <f t="shared" si="12"/>
        <v>295000</v>
      </c>
    </row>
    <row r="776" spans="1:11">
      <c r="A776" t="s">
        <v>860</v>
      </c>
      <c r="B776" s="2">
        <v>45121</v>
      </c>
      <c r="C776" t="s">
        <v>60</v>
      </c>
      <c r="D776" t="s">
        <v>61</v>
      </c>
      <c r="E776" t="s">
        <v>20</v>
      </c>
      <c r="F776" t="s">
        <v>62</v>
      </c>
      <c r="G776">
        <v>5</v>
      </c>
      <c r="H776">
        <v>260000</v>
      </c>
      <c r="I776">
        <v>0</v>
      </c>
      <c r="J776" t="s">
        <v>13</v>
      </c>
      <c r="K776" s="14">
        <f t="shared" si="12"/>
        <v>1300000</v>
      </c>
    </row>
    <row r="777" spans="1:11">
      <c r="A777" t="s">
        <v>861</v>
      </c>
      <c r="B777" s="2">
        <v>45289</v>
      </c>
      <c r="C777" t="s">
        <v>27</v>
      </c>
      <c r="D777" t="s">
        <v>28</v>
      </c>
      <c r="E777" t="s">
        <v>29</v>
      </c>
      <c r="F777" t="s">
        <v>12</v>
      </c>
      <c r="G777">
        <v>3</v>
      </c>
      <c r="H777">
        <v>210000</v>
      </c>
      <c r="I777">
        <v>5</v>
      </c>
      <c r="J777" t="s">
        <v>16</v>
      </c>
      <c r="K777" s="14">
        <f t="shared" si="12"/>
        <v>598500</v>
      </c>
    </row>
    <row r="778" spans="1:11">
      <c r="A778" t="s">
        <v>862</v>
      </c>
      <c r="B778" s="2">
        <v>44989</v>
      </c>
      <c r="C778" t="s">
        <v>184</v>
      </c>
      <c r="D778" t="s">
        <v>110</v>
      </c>
      <c r="E778" t="s">
        <v>66</v>
      </c>
      <c r="F778" t="s">
        <v>12</v>
      </c>
      <c r="G778">
        <v>2</v>
      </c>
      <c r="H778">
        <v>335000</v>
      </c>
      <c r="I778">
        <v>0</v>
      </c>
      <c r="J778" t="s">
        <v>47</v>
      </c>
      <c r="K778" s="14">
        <f t="shared" si="12"/>
        <v>670000</v>
      </c>
    </row>
    <row r="779" spans="1:11">
      <c r="A779" t="s">
        <v>863</v>
      </c>
      <c r="B779" s="2">
        <v>45285</v>
      </c>
      <c r="C779" t="s">
        <v>108</v>
      </c>
      <c r="D779" t="s">
        <v>56</v>
      </c>
      <c r="E779" t="s">
        <v>57</v>
      </c>
      <c r="F779" t="s">
        <v>12</v>
      </c>
      <c r="G779">
        <v>2</v>
      </c>
      <c r="H779">
        <v>105000</v>
      </c>
      <c r="I779">
        <v>0</v>
      </c>
      <c r="J779" t="s">
        <v>21</v>
      </c>
      <c r="K779" s="14">
        <f t="shared" si="12"/>
        <v>210000</v>
      </c>
    </row>
    <row r="780" spans="1:11">
      <c r="A780" t="s">
        <v>864</v>
      </c>
      <c r="B780" s="2">
        <v>44961</v>
      </c>
      <c r="C780" t="s">
        <v>215</v>
      </c>
      <c r="D780" t="s">
        <v>10</v>
      </c>
      <c r="E780" t="s">
        <v>11</v>
      </c>
      <c r="F780" t="s">
        <v>1268</v>
      </c>
      <c r="G780">
        <v>3</v>
      </c>
      <c r="H780">
        <v>420000</v>
      </c>
      <c r="I780">
        <v>0</v>
      </c>
      <c r="J780" t="s">
        <v>16</v>
      </c>
      <c r="K780" s="14">
        <f t="shared" si="12"/>
        <v>1260000</v>
      </c>
    </row>
    <row r="781" spans="1:11">
      <c r="A781" t="s">
        <v>865</v>
      </c>
      <c r="B781" s="2">
        <v>45058</v>
      </c>
      <c r="C781" t="s">
        <v>70</v>
      </c>
      <c r="D781" t="s">
        <v>65</v>
      </c>
      <c r="E781" t="s">
        <v>66</v>
      </c>
      <c r="F781" t="s">
        <v>12</v>
      </c>
      <c r="G781">
        <v>1</v>
      </c>
      <c r="H781">
        <v>295000</v>
      </c>
      <c r="I781">
        <v>0</v>
      </c>
      <c r="J781" t="s">
        <v>1268</v>
      </c>
      <c r="K781" s="14">
        <f t="shared" si="12"/>
        <v>295000</v>
      </c>
    </row>
    <row r="782" spans="1:11">
      <c r="A782" t="s">
        <v>866</v>
      </c>
      <c r="B782" s="2">
        <v>45138</v>
      </c>
      <c r="C782" t="s">
        <v>96</v>
      </c>
      <c r="D782" t="s">
        <v>97</v>
      </c>
      <c r="E782" t="s">
        <v>98</v>
      </c>
      <c r="F782" t="s">
        <v>12</v>
      </c>
      <c r="G782">
        <v>1</v>
      </c>
      <c r="H782">
        <v>170000</v>
      </c>
      <c r="I782">
        <v>0</v>
      </c>
      <c r="J782" t="s">
        <v>71</v>
      </c>
      <c r="K782" s="14">
        <f t="shared" si="12"/>
        <v>170000</v>
      </c>
    </row>
    <row r="783" spans="1:11">
      <c r="A783" t="s">
        <v>867</v>
      </c>
      <c r="B783" s="2">
        <v>45259</v>
      </c>
      <c r="C783" t="s">
        <v>15</v>
      </c>
      <c r="D783" t="s">
        <v>10</v>
      </c>
      <c r="E783" t="s">
        <v>11</v>
      </c>
      <c r="F783" t="s">
        <v>68</v>
      </c>
      <c r="G783">
        <v>1</v>
      </c>
      <c r="H783">
        <v>420000</v>
      </c>
      <c r="I783">
        <v>15</v>
      </c>
      <c r="J783" t="s">
        <v>47</v>
      </c>
      <c r="K783" s="14">
        <f t="shared" si="12"/>
        <v>357000</v>
      </c>
    </row>
    <row r="784" spans="1:11">
      <c r="A784" t="s">
        <v>868</v>
      </c>
      <c r="B784" s="2">
        <v>45240</v>
      </c>
      <c r="C784" t="s">
        <v>49</v>
      </c>
      <c r="D784" t="s">
        <v>50</v>
      </c>
      <c r="E784" t="s">
        <v>29</v>
      </c>
      <c r="F784" t="s">
        <v>62</v>
      </c>
      <c r="G784">
        <v>1</v>
      </c>
      <c r="H784">
        <v>220000</v>
      </c>
      <c r="I784">
        <v>0</v>
      </c>
      <c r="J784" t="s">
        <v>1268</v>
      </c>
      <c r="K784" s="14">
        <f t="shared" si="12"/>
        <v>220000</v>
      </c>
    </row>
    <row r="785" spans="1:11">
      <c r="A785" t="s">
        <v>869</v>
      </c>
      <c r="B785" s="2">
        <v>45136</v>
      </c>
      <c r="C785" t="s">
        <v>55</v>
      </c>
      <c r="D785" t="s">
        <v>56</v>
      </c>
      <c r="E785" t="s">
        <v>57</v>
      </c>
      <c r="F785" t="s">
        <v>62</v>
      </c>
      <c r="G785">
        <v>4</v>
      </c>
      <c r="H785">
        <v>105000</v>
      </c>
      <c r="I785">
        <v>10</v>
      </c>
      <c r="J785" t="s">
        <v>21</v>
      </c>
      <c r="K785" s="14">
        <f t="shared" si="12"/>
        <v>378000</v>
      </c>
    </row>
    <row r="786" spans="1:11">
      <c r="A786" t="s">
        <v>870</v>
      </c>
      <c r="B786" s="2">
        <v>45189</v>
      </c>
      <c r="C786" t="s">
        <v>34</v>
      </c>
      <c r="D786" t="s">
        <v>35</v>
      </c>
      <c r="E786" t="s">
        <v>36</v>
      </c>
      <c r="F786" t="s">
        <v>12</v>
      </c>
      <c r="G786">
        <v>3</v>
      </c>
      <c r="H786">
        <v>198000</v>
      </c>
      <c r="I786">
        <v>15</v>
      </c>
      <c r="J786" t="s">
        <v>21</v>
      </c>
      <c r="K786" s="14">
        <f t="shared" si="12"/>
        <v>504900</v>
      </c>
    </row>
    <row r="787" spans="1:11">
      <c r="A787" t="s">
        <v>871</v>
      </c>
      <c r="B787" s="2">
        <v>45034</v>
      </c>
      <c r="C787" t="s">
        <v>122</v>
      </c>
      <c r="D787" t="s">
        <v>123</v>
      </c>
      <c r="E787" t="s">
        <v>124</v>
      </c>
      <c r="F787" t="s">
        <v>12</v>
      </c>
      <c r="G787">
        <v>3</v>
      </c>
      <c r="H787">
        <v>228000</v>
      </c>
      <c r="I787">
        <v>0</v>
      </c>
      <c r="J787" t="s">
        <v>71</v>
      </c>
      <c r="K787" s="14">
        <f t="shared" si="12"/>
        <v>684000</v>
      </c>
    </row>
    <row r="788" spans="1:11">
      <c r="A788" t="s">
        <v>872</v>
      </c>
      <c r="B788" s="2">
        <v>45123</v>
      </c>
      <c r="C788" t="s">
        <v>119</v>
      </c>
      <c r="D788" t="s">
        <v>120</v>
      </c>
      <c r="E788" t="s">
        <v>11</v>
      </c>
      <c r="F788" t="s">
        <v>68</v>
      </c>
      <c r="G788">
        <v>1</v>
      </c>
      <c r="H788">
        <v>440000</v>
      </c>
      <c r="I788">
        <v>0</v>
      </c>
      <c r="J788" t="s">
        <v>1268</v>
      </c>
      <c r="K788" s="14">
        <f t="shared" si="12"/>
        <v>440000</v>
      </c>
    </row>
    <row r="789" spans="1:11">
      <c r="A789" t="s">
        <v>873</v>
      </c>
      <c r="B789" s="2">
        <v>45244</v>
      </c>
      <c r="C789" t="s">
        <v>55</v>
      </c>
      <c r="D789" t="s">
        <v>56</v>
      </c>
      <c r="E789" t="s">
        <v>57</v>
      </c>
      <c r="F789" t="s">
        <v>62</v>
      </c>
      <c r="G789">
        <v>1</v>
      </c>
      <c r="H789">
        <v>105000</v>
      </c>
      <c r="I789">
        <v>0</v>
      </c>
      <c r="J789" t="s">
        <v>1268</v>
      </c>
      <c r="K789" s="14">
        <f t="shared" si="12"/>
        <v>105000</v>
      </c>
    </row>
    <row r="790" spans="1:11">
      <c r="A790" t="s">
        <v>874</v>
      </c>
      <c r="B790" s="2">
        <v>45269</v>
      </c>
      <c r="C790" t="s">
        <v>108</v>
      </c>
      <c r="D790" t="s">
        <v>56</v>
      </c>
      <c r="E790" t="s">
        <v>57</v>
      </c>
      <c r="F790" t="s">
        <v>12</v>
      </c>
      <c r="G790">
        <v>1</v>
      </c>
      <c r="H790">
        <v>105000</v>
      </c>
      <c r="I790">
        <v>0</v>
      </c>
      <c r="J790" t="s">
        <v>16</v>
      </c>
      <c r="K790" s="14">
        <f t="shared" si="12"/>
        <v>105000</v>
      </c>
    </row>
    <row r="791" spans="1:11">
      <c r="A791" t="s">
        <v>875</v>
      </c>
      <c r="B791" s="2">
        <v>45237</v>
      </c>
      <c r="C791" t="s">
        <v>162</v>
      </c>
      <c r="D791" t="s">
        <v>56</v>
      </c>
      <c r="E791" t="s">
        <v>57</v>
      </c>
      <c r="F791" t="s">
        <v>68</v>
      </c>
      <c r="G791">
        <v>1</v>
      </c>
      <c r="H791">
        <v>105000</v>
      </c>
      <c r="I791">
        <v>0</v>
      </c>
      <c r="J791" t="s">
        <v>21</v>
      </c>
      <c r="K791" s="14">
        <f t="shared" si="12"/>
        <v>105000</v>
      </c>
    </row>
    <row r="792" spans="1:11">
      <c r="A792" t="s">
        <v>876</v>
      </c>
      <c r="B792" s="2">
        <v>45016</v>
      </c>
      <c r="C792" t="s">
        <v>55</v>
      </c>
      <c r="D792" t="s">
        <v>56</v>
      </c>
      <c r="E792" t="s">
        <v>57</v>
      </c>
      <c r="F792" t="s">
        <v>62</v>
      </c>
      <c r="G792">
        <v>2</v>
      </c>
      <c r="H792">
        <v>105000</v>
      </c>
      <c r="I792">
        <v>0</v>
      </c>
      <c r="J792" t="s">
        <v>16</v>
      </c>
      <c r="K792" s="14">
        <f t="shared" si="12"/>
        <v>210000</v>
      </c>
    </row>
    <row r="793" spans="1:11">
      <c r="A793" t="s">
        <v>877</v>
      </c>
      <c r="B793" s="2">
        <v>44965</v>
      </c>
      <c r="C793" t="s">
        <v>55</v>
      </c>
      <c r="D793" t="s">
        <v>56</v>
      </c>
      <c r="E793" t="s">
        <v>57</v>
      </c>
      <c r="F793" t="s">
        <v>62</v>
      </c>
      <c r="G793">
        <v>4</v>
      </c>
      <c r="H793">
        <v>105000</v>
      </c>
      <c r="I793">
        <v>0</v>
      </c>
      <c r="J793" t="s">
        <v>21</v>
      </c>
      <c r="K793" s="14">
        <f t="shared" si="12"/>
        <v>420000</v>
      </c>
    </row>
    <row r="794" spans="1:11">
      <c r="A794" t="s">
        <v>878</v>
      </c>
      <c r="B794" s="2">
        <v>45028</v>
      </c>
      <c r="C794" t="s">
        <v>133</v>
      </c>
      <c r="D794" t="s">
        <v>102</v>
      </c>
      <c r="E794" t="s">
        <v>11</v>
      </c>
      <c r="F794" t="s">
        <v>62</v>
      </c>
      <c r="G794">
        <v>2</v>
      </c>
      <c r="H794">
        <v>430000</v>
      </c>
      <c r="I794">
        <v>0</v>
      </c>
      <c r="J794" t="s">
        <v>21</v>
      </c>
      <c r="K794" s="14">
        <f t="shared" si="12"/>
        <v>860000</v>
      </c>
    </row>
    <row r="795" spans="1:11">
      <c r="A795" t="s">
        <v>879</v>
      </c>
      <c r="B795" s="2">
        <v>45134</v>
      </c>
      <c r="C795" t="s">
        <v>23</v>
      </c>
      <c r="D795" t="s">
        <v>24</v>
      </c>
      <c r="E795" t="s">
        <v>25</v>
      </c>
      <c r="F795" t="s">
        <v>12</v>
      </c>
      <c r="G795">
        <v>1</v>
      </c>
      <c r="H795">
        <v>182000</v>
      </c>
      <c r="I795">
        <v>5</v>
      </c>
      <c r="J795" t="s">
        <v>16</v>
      </c>
      <c r="K795" s="14">
        <f t="shared" si="12"/>
        <v>172900</v>
      </c>
    </row>
    <row r="796" spans="1:11">
      <c r="A796" t="s">
        <v>880</v>
      </c>
      <c r="B796" s="2">
        <v>44927</v>
      </c>
      <c r="C796" t="s">
        <v>75</v>
      </c>
      <c r="D796" t="s">
        <v>32</v>
      </c>
      <c r="E796" t="s">
        <v>29</v>
      </c>
      <c r="F796" t="s">
        <v>12</v>
      </c>
      <c r="G796">
        <v>4</v>
      </c>
      <c r="H796">
        <v>215000</v>
      </c>
      <c r="I796">
        <v>0</v>
      </c>
      <c r="J796" t="s">
        <v>16</v>
      </c>
      <c r="K796" s="14">
        <f t="shared" si="12"/>
        <v>860000</v>
      </c>
    </row>
    <row r="797" spans="1:11">
      <c r="A797" t="s">
        <v>881</v>
      </c>
      <c r="B797" s="2">
        <v>45132</v>
      </c>
      <c r="C797" t="s">
        <v>299</v>
      </c>
      <c r="D797" t="s">
        <v>120</v>
      </c>
      <c r="E797" t="s">
        <v>11</v>
      </c>
      <c r="F797" t="s">
        <v>12</v>
      </c>
      <c r="G797">
        <v>1</v>
      </c>
      <c r="H797">
        <v>440000</v>
      </c>
      <c r="I797">
        <v>10</v>
      </c>
      <c r="J797" t="s">
        <v>41</v>
      </c>
      <c r="K797" s="14">
        <f t="shared" si="12"/>
        <v>396000</v>
      </c>
    </row>
    <row r="798" spans="1:11">
      <c r="A798" t="s">
        <v>882</v>
      </c>
      <c r="B798" s="2">
        <v>45081</v>
      </c>
      <c r="C798" t="s">
        <v>23</v>
      </c>
      <c r="D798" t="s">
        <v>24</v>
      </c>
      <c r="E798" t="s">
        <v>25</v>
      </c>
      <c r="F798" t="s">
        <v>12</v>
      </c>
      <c r="G798">
        <v>2</v>
      </c>
      <c r="H798">
        <v>182000</v>
      </c>
      <c r="I798">
        <v>0</v>
      </c>
      <c r="J798" t="s">
        <v>16</v>
      </c>
      <c r="K798" s="14">
        <f t="shared" si="12"/>
        <v>364000</v>
      </c>
    </row>
    <row r="799" spans="1:11">
      <c r="A799" t="s">
        <v>883</v>
      </c>
      <c r="B799" s="2">
        <v>45276</v>
      </c>
      <c r="C799" t="s">
        <v>23</v>
      </c>
      <c r="D799" t="s">
        <v>24</v>
      </c>
      <c r="E799" t="s">
        <v>25</v>
      </c>
      <c r="F799" t="s">
        <v>12</v>
      </c>
      <c r="G799">
        <v>1</v>
      </c>
      <c r="H799">
        <v>182000</v>
      </c>
      <c r="I799">
        <v>15</v>
      </c>
      <c r="J799" t="s">
        <v>71</v>
      </c>
      <c r="K799" s="14">
        <f t="shared" si="12"/>
        <v>154700</v>
      </c>
    </row>
    <row r="800" spans="1:11">
      <c r="A800" t="s">
        <v>884</v>
      </c>
      <c r="B800" s="2">
        <v>45220</v>
      </c>
      <c r="C800" t="s">
        <v>31</v>
      </c>
      <c r="D800" t="s">
        <v>32</v>
      </c>
      <c r="E800" t="s">
        <v>29</v>
      </c>
      <c r="F800" t="s">
        <v>68</v>
      </c>
      <c r="G800">
        <v>3</v>
      </c>
      <c r="H800">
        <v>215000</v>
      </c>
      <c r="I800">
        <v>15</v>
      </c>
      <c r="J800" t="s">
        <v>16</v>
      </c>
      <c r="K800" s="14">
        <f t="shared" si="12"/>
        <v>548250</v>
      </c>
    </row>
    <row r="801" spans="1:11">
      <c r="A801" t="s">
        <v>885</v>
      </c>
      <c r="B801" s="2">
        <v>45282</v>
      </c>
      <c r="C801" t="s">
        <v>46</v>
      </c>
      <c r="D801" t="s">
        <v>44</v>
      </c>
      <c r="E801" t="s">
        <v>1290</v>
      </c>
      <c r="F801" t="s">
        <v>12</v>
      </c>
      <c r="G801">
        <v>1</v>
      </c>
      <c r="H801">
        <v>235000</v>
      </c>
      <c r="I801">
        <v>0</v>
      </c>
      <c r="J801" t="s">
        <v>1268</v>
      </c>
      <c r="K801" s="14">
        <f t="shared" si="12"/>
        <v>235000</v>
      </c>
    </row>
    <row r="802" spans="1:11">
      <c r="A802" t="s">
        <v>886</v>
      </c>
      <c r="B802" s="2">
        <v>45097</v>
      </c>
      <c r="C802" t="s">
        <v>46</v>
      </c>
      <c r="D802" t="s">
        <v>44</v>
      </c>
      <c r="E802" t="s">
        <v>1290</v>
      </c>
      <c r="F802" t="s">
        <v>12</v>
      </c>
      <c r="G802">
        <v>1</v>
      </c>
      <c r="H802">
        <v>235000</v>
      </c>
      <c r="I802">
        <v>0</v>
      </c>
      <c r="J802" t="s">
        <v>21</v>
      </c>
      <c r="K802" s="14">
        <f t="shared" si="12"/>
        <v>235000</v>
      </c>
    </row>
    <row r="803" spans="1:11">
      <c r="A803" t="s">
        <v>887</v>
      </c>
      <c r="B803" s="2">
        <v>45263</v>
      </c>
      <c r="C803" t="s">
        <v>144</v>
      </c>
      <c r="D803" t="s">
        <v>142</v>
      </c>
      <c r="E803" t="s">
        <v>66</v>
      </c>
      <c r="F803" t="s">
        <v>12</v>
      </c>
      <c r="G803">
        <v>4</v>
      </c>
      <c r="H803">
        <v>330000</v>
      </c>
      <c r="I803">
        <v>0</v>
      </c>
      <c r="J803" t="s">
        <v>16</v>
      </c>
      <c r="K803" s="14">
        <f t="shared" si="12"/>
        <v>1320000</v>
      </c>
    </row>
    <row r="804" spans="1:11">
      <c r="A804" t="s">
        <v>888</v>
      </c>
      <c r="B804" s="2">
        <v>45216</v>
      </c>
      <c r="C804" t="s">
        <v>70</v>
      </c>
      <c r="D804" t="s">
        <v>65</v>
      </c>
      <c r="E804" t="s">
        <v>66</v>
      </c>
      <c r="F804" t="s">
        <v>12</v>
      </c>
      <c r="G804">
        <v>3</v>
      </c>
      <c r="H804">
        <v>295000</v>
      </c>
      <c r="I804">
        <v>0</v>
      </c>
      <c r="J804" t="s">
        <v>71</v>
      </c>
      <c r="K804" s="14">
        <f t="shared" si="12"/>
        <v>885000</v>
      </c>
    </row>
    <row r="805" spans="1:11">
      <c r="A805" t="s">
        <v>889</v>
      </c>
      <c r="B805" s="2">
        <v>45140</v>
      </c>
      <c r="C805" t="s">
        <v>144</v>
      </c>
      <c r="D805" t="s">
        <v>142</v>
      </c>
      <c r="E805" t="s">
        <v>66</v>
      </c>
      <c r="F805" t="s">
        <v>1268</v>
      </c>
      <c r="G805">
        <v>2</v>
      </c>
      <c r="H805">
        <v>330000</v>
      </c>
      <c r="I805">
        <v>0</v>
      </c>
      <c r="J805" t="s">
        <v>71</v>
      </c>
      <c r="K805" s="14">
        <f t="shared" si="12"/>
        <v>660000</v>
      </c>
    </row>
    <row r="806" spans="1:11">
      <c r="A806" t="s">
        <v>890</v>
      </c>
      <c r="B806" s="2">
        <v>44932</v>
      </c>
      <c r="C806" t="s">
        <v>18</v>
      </c>
      <c r="D806" t="s">
        <v>19</v>
      </c>
      <c r="E806" t="s">
        <v>20</v>
      </c>
      <c r="F806" t="s">
        <v>12</v>
      </c>
      <c r="G806">
        <v>5</v>
      </c>
      <c r="H806">
        <v>265000</v>
      </c>
      <c r="I806">
        <v>0</v>
      </c>
      <c r="J806" t="s">
        <v>41</v>
      </c>
      <c r="K806" s="14">
        <f t="shared" si="12"/>
        <v>1325000</v>
      </c>
    </row>
    <row r="807" spans="1:11">
      <c r="A807" t="s">
        <v>891</v>
      </c>
      <c r="B807" s="2">
        <v>45012</v>
      </c>
      <c r="C807" t="s">
        <v>31</v>
      </c>
      <c r="D807" t="s">
        <v>32</v>
      </c>
      <c r="E807" t="s">
        <v>29</v>
      </c>
      <c r="F807" t="s">
        <v>68</v>
      </c>
      <c r="G807">
        <v>1</v>
      </c>
      <c r="H807">
        <v>215000</v>
      </c>
      <c r="I807">
        <v>0</v>
      </c>
      <c r="J807" t="s">
        <v>71</v>
      </c>
      <c r="K807" s="14">
        <f t="shared" si="12"/>
        <v>215000</v>
      </c>
    </row>
    <row r="808" spans="1:11">
      <c r="A808" t="s">
        <v>892</v>
      </c>
      <c r="B808" s="2">
        <v>44964</v>
      </c>
      <c r="C808" t="s">
        <v>147</v>
      </c>
      <c r="D808" t="s">
        <v>148</v>
      </c>
      <c r="E808" t="s">
        <v>66</v>
      </c>
      <c r="F808" t="s">
        <v>12</v>
      </c>
      <c r="G808">
        <v>2</v>
      </c>
      <c r="H808">
        <v>305000</v>
      </c>
      <c r="I808">
        <v>0</v>
      </c>
      <c r="J808" t="s">
        <v>71</v>
      </c>
      <c r="K808" s="14">
        <f t="shared" si="12"/>
        <v>610000</v>
      </c>
    </row>
    <row r="809" spans="1:11">
      <c r="A809" t="s">
        <v>893</v>
      </c>
      <c r="B809" s="2">
        <v>45137</v>
      </c>
      <c r="C809" t="s">
        <v>15</v>
      </c>
      <c r="D809" t="s">
        <v>10</v>
      </c>
      <c r="E809" t="s">
        <v>11</v>
      </c>
      <c r="F809" t="s">
        <v>68</v>
      </c>
      <c r="G809">
        <v>1</v>
      </c>
      <c r="H809">
        <v>420000</v>
      </c>
      <c r="I809">
        <v>0</v>
      </c>
      <c r="J809" t="s">
        <v>21</v>
      </c>
      <c r="K809" s="14">
        <f t="shared" si="12"/>
        <v>420000</v>
      </c>
    </row>
    <row r="810" spans="1:11">
      <c r="A810" t="s">
        <v>89</v>
      </c>
      <c r="B810" s="2">
        <v>45253</v>
      </c>
      <c r="C810" t="s">
        <v>90</v>
      </c>
      <c r="D810" t="s">
        <v>91</v>
      </c>
      <c r="E810" t="s">
        <v>11</v>
      </c>
      <c r="F810" t="s">
        <v>12</v>
      </c>
      <c r="G810">
        <v>1</v>
      </c>
      <c r="H810">
        <v>425000</v>
      </c>
      <c r="I810">
        <v>0</v>
      </c>
      <c r="J810" t="s">
        <v>41</v>
      </c>
      <c r="K810" s="14">
        <f t="shared" si="12"/>
        <v>425000</v>
      </c>
    </row>
    <row r="811" spans="1:11">
      <c r="A811" t="s">
        <v>894</v>
      </c>
      <c r="B811" s="2">
        <v>45036</v>
      </c>
      <c r="C811" t="s">
        <v>38</v>
      </c>
      <c r="D811" t="s">
        <v>39</v>
      </c>
      <c r="E811" t="s">
        <v>40</v>
      </c>
      <c r="F811" t="s">
        <v>12</v>
      </c>
      <c r="G811">
        <v>1</v>
      </c>
      <c r="H811">
        <v>320000</v>
      </c>
      <c r="I811">
        <v>0</v>
      </c>
      <c r="J811" t="s">
        <v>21</v>
      </c>
      <c r="K811" s="14">
        <f t="shared" si="12"/>
        <v>320000</v>
      </c>
    </row>
    <row r="812" spans="1:11">
      <c r="A812" t="s">
        <v>895</v>
      </c>
      <c r="B812" s="2">
        <v>44994</v>
      </c>
      <c r="C812" t="s">
        <v>215</v>
      </c>
      <c r="D812" t="s">
        <v>10</v>
      </c>
      <c r="E812" t="s">
        <v>11</v>
      </c>
      <c r="F812" t="s">
        <v>12</v>
      </c>
      <c r="G812">
        <v>4</v>
      </c>
      <c r="H812">
        <v>420000</v>
      </c>
      <c r="I812">
        <v>0</v>
      </c>
      <c r="J812" t="s">
        <v>71</v>
      </c>
      <c r="K812" s="14">
        <f t="shared" si="12"/>
        <v>1680000</v>
      </c>
    </row>
    <row r="813" spans="1:11">
      <c r="A813" t="s">
        <v>896</v>
      </c>
      <c r="B813" s="2">
        <v>45120</v>
      </c>
      <c r="C813" t="s">
        <v>108</v>
      </c>
      <c r="D813" t="s">
        <v>56</v>
      </c>
      <c r="E813" t="s">
        <v>57</v>
      </c>
      <c r="F813" t="s">
        <v>12</v>
      </c>
      <c r="G813">
        <v>1</v>
      </c>
      <c r="H813">
        <v>105000</v>
      </c>
      <c r="I813">
        <v>0</v>
      </c>
      <c r="J813" t="s">
        <v>71</v>
      </c>
      <c r="K813" s="14">
        <f t="shared" si="12"/>
        <v>105000</v>
      </c>
    </row>
    <row r="814" spans="1:11">
      <c r="A814" t="s">
        <v>897</v>
      </c>
      <c r="B814" s="2">
        <v>45267</v>
      </c>
      <c r="C814" t="s">
        <v>43</v>
      </c>
      <c r="D814" t="s">
        <v>44</v>
      </c>
      <c r="E814" t="s">
        <v>29</v>
      </c>
      <c r="F814" t="s">
        <v>68</v>
      </c>
      <c r="G814">
        <v>1</v>
      </c>
      <c r="H814">
        <v>235000</v>
      </c>
      <c r="I814">
        <v>0</v>
      </c>
      <c r="J814" t="s">
        <v>16</v>
      </c>
      <c r="K814" s="14">
        <f t="shared" ref="K814:K876" si="13">G814*H814*(1-I814/100)</f>
        <v>235000</v>
      </c>
    </row>
    <row r="815" spans="1:11">
      <c r="A815" t="s">
        <v>898</v>
      </c>
      <c r="B815" s="2">
        <v>45098</v>
      </c>
      <c r="C815" t="s">
        <v>173</v>
      </c>
      <c r="D815" t="s">
        <v>39</v>
      </c>
      <c r="E815" t="s">
        <v>40</v>
      </c>
      <c r="F815" t="s">
        <v>68</v>
      </c>
      <c r="G815">
        <v>2</v>
      </c>
      <c r="H815">
        <v>320000</v>
      </c>
      <c r="I815">
        <v>0</v>
      </c>
      <c r="J815" t="s">
        <v>21</v>
      </c>
      <c r="K815" s="14">
        <f t="shared" si="13"/>
        <v>640000</v>
      </c>
    </row>
    <row r="816" spans="1:11">
      <c r="A816" t="s">
        <v>899</v>
      </c>
      <c r="B816" s="2">
        <v>45277</v>
      </c>
      <c r="C816" t="s">
        <v>43</v>
      </c>
      <c r="D816" t="s">
        <v>44</v>
      </c>
      <c r="E816" t="s">
        <v>29</v>
      </c>
      <c r="F816" t="s">
        <v>68</v>
      </c>
      <c r="G816">
        <v>1</v>
      </c>
      <c r="H816">
        <v>235000</v>
      </c>
      <c r="I816">
        <v>0</v>
      </c>
      <c r="J816" t="s">
        <v>21</v>
      </c>
      <c r="K816" s="14">
        <f t="shared" si="13"/>
        <v>235000</v>
      </c>
    </row>
    <row r="817" spans="1:11">
      <c r="A817" t="s">
        <v>900</v>
      </c>
      <c r="B817" s="2">
        <v>45014</v>
      </c>
      <c r="C817" t="s">
        <v>46</v>
      </c>
      <c r="D817" t="s">
        <v>44</v>
      </c>
      <c r="E817" t="s">
        <v>1290</v>
      </c>
      <c r="F817" t="s">
        <v>12</v>
      </c>
      <c r="G817">
        <v>1</v>
      </c>
      <c r="H817">
        <v>235000</v>
      </c>
      <c r="I817">
        <v>0</v>
      </c>
      <c r="J817" t="s">
        <v>13</v>
      </c>
      <c r="K817" s="14">
        <f t="shared" si="13"/>
        <v>235000</v>
      </c>
    </row>
    <row r="818" spans="1:11">
      <c r="A818" t="s">
        <v>901</v>
      </c>
      <c r="B818" s="2">
        <v>45289</v>
      </c>
      <c r="C818" t="s">
        <v>64</v>
      </c>
      <c r="D818" t="s">
        <v>65</v>
      </c>
      <c r="E818" t="s">
        <v>66</v>
      </c>
      <c r="F818" t="s">
        <v>62</v>
      </c>
      <c r="G818">
        <v>2</v>
      </c>
      <c r="H818">
        <v>295000</v>
      </c>
      <c r="I818">
        <v>0</v>
      </c>
      <c r="J818" t="s">
        <v>16</v>
      </c>
      <c r="K818" s="14">
        <f t="shared" si="13"/>
        <v>590000</v>
      </c>
    </row>
    <row r="819" spans="1:11">
      <c r="A819" t="s">
        <v>902</v>
      </c>
      <c r="B819" s="2">
        <v>45204</v>
      </c>
      <c r="C819" t="s">
        <v>215</v>
      </c>
      <c r="D819" t="s">
        <v>10</v>
      </c>
      <c r="E819" t="s">
        <v>11</v>
      </c>
      <c r="F819" t="s">
        <v>12</v>
      </c>
      <c r="G819">
        <v>5</v>
      </c>
      <c r="H819">
        <v>420000</v>
      </c>
      <c r="I819">
        <v>0</v>
      </c>
      <c r="J819" t="s">
        <v>16</v>
      </c>
      <c r="K819" s="14">
        <f t="shared" si="13"/>
        <v>2100000</v>
      </c>
    </row>
    <row r="820" spans="1:11">
      <c r="A820" t="s">
        <v>903</v>
      </c>
      <c r="B820" s="2">
        <v>45240</v>
      </c>
      <c r="C820" t="s">
        <v>119</v>
      </c>
      <c r="D820" t="s">
        <v>120</v>
      </c>
      <c r="E820" t="s">
        <v>11</v>
      </c>
      <c r="F820" t="s">
        <v>68</v>
      </c>
      <c r="G820">
        <v>3</v>
      </c>
      <c r="H820">
        <v>440000</v>
      </c>
      <c r="I820">
        <v>0</v>
      </c>
      <c r="J820" t="s">
        <v>16</v>
      </c>
      <c r="K820" s="14">
        <f t="shared" si="13"/>
        <v>1320000</v>
      </c>
    </row>
    <row r="821" spans="1:11">
      <c r="A821" t="s">
        <v>904</v>
      </c>
      <c r="B821" s="2">
        <v>44946</v>
      </c>
      <c r="C821" t="s">
        <v>119</v>
      </c>
      <c r="D821" t="s">
        <v>120</v>
      </c>
      <c r="E821" t="s">
        <v>11</v>
      </c>
      <c r="F821" t="s">
        <v>68</v>
      </c>
      <c r="G821">
        <v>5</v>
      </c>
      <c r="H821">
        <v>440000</v>
      </c>
      <c r="I821">
        <v>0</v>
      </c>
      <c r="J821" t="s">
        <v>16</v>
      </c>
      <c r="K821" s="14">
        <f t="shared" si="13"/>
        <v>2200000</v>
      </c>
    </row>
    <row r="822" spans="1:11">
      <c r="A822" t="s">
        <v>905</v>
      </c>
      <c r="B822" s="2">
        <v>45181</v>
      </c>
      <c r="C822" t="s">
        <v>133</v>
      </c>
      <c r="D822" t="s">
        <v>102</v>
      </c>
      <c r="E822" t="s">
        <v>11</v>
      </c>
      <c r="F822" t="s">
        <v>62</v>
      </c>
      <c r="G822">
        <v>2</v>
      </c>
      <c r="H822">
        <v>430000</v>
      </c>
      <c r="I822">
        <v>5</v>
      </c>
      <c r="J822" t="s">
        <v>16</v>
      </c>
      <c r="K822" s="14">
        <f t="shared" si="13"/>
        <v>817000</v>
      </c>
    </row>
    <row r="823" spans="1:11">
      <c r="A823" t="s">
        <v>906</v>
      </c>
      <c r="B823" s="2">
        <v>45013</v>
      </c>
      <c r="C823" t="s">
        <v>88</v>
      </c>
      <c r="D823" t="s">
        <v>10</v>
      </c>
      <c r="E823" t="s">
        <v>11</v>
      </c>
      <c r="F823" t="s">
        <v>62</v>
      </c>
      <c r="G823">
        <v>1</v>
      </c>
      <c r="H823">
        <v>420000</v>
      </c>
      <c r="I823">
        <v>10</v>
      </c>
      <c r="J823" t="s">
        <v>16</v>
      </c>
      <c r="K823" s="14">
        <f t="shared" si="13"/>
        <v>378000</v>
      </c>
    </row>
    <row r="824" spans="1:11">
      <c r="A824" t="s">
        <v>907</v>
      </c>
      <c r="B824" s="2">
        <v>45172</v>
      </c>
      <c r="C824" t="s">
        <v>60</v>
      </c>
      <c r="D824" t="s">
        <v>61</v>
      </c>
      <c r="E824" t="s">
        <v>20</v>
      </c>
      <c r="F824" t="s">
        <v>62</v>
      </c>
      <c r="G824">
        <v>5</v>
      </c>
      <c r="H824">
        <v>260000</v>
      </c>
      <c r="I824">
        <v>0</v>
      </c>
      <c r="J824" t="s">
        <v>16</v>
      </c>
      <c r="K824" s="14">
        <f t="shared" si="13"/>
        <v>1300000</v>
      </c>
    </row>
    <row r="825" spans="1:11">
      <c r="A825" t="s">
        <v>908</v>
      </c>
      <c r="B825" s="2">
        <v>44938</v>
      </c>
      <c r="C825" t="s">
        <v>38</v>
      </c>
      <c r="D825" t="s">
        <v>39</v>
      </c>
      <c r="E825" t="s">
        <v>40</v>
      </c>
      <c r="F825" t="s">
        <v>12</v>
      </c>
      <c r="G825">
        <v>1</v>
      </c>
      <c r="H825">
        <v>320000</v>
      </c>
      <c r="I825">
        <v>0</v>
      </c>
      <c r="J825" t="s">
        <v>16</v>
      </c>
      <c r="K825" s="14">
        <f t="shared" si="13"/>
        <v>320000</v>
      </c>
    </row>
    <row r="826" spans="1:11">
      <c r="A826" t="s">
        <v>909</v>
      </c>
      <c r="B826" s="2">
        <v>45068</v>
      </c>
      <c r="C826" t="s">
        <v>49</v>
      </c>
      <c r="D826" t="s">
        <v>50</v>
      </c>
      <c r="E826" t="s">
        <v>29</v>
      </c>
      <c r="F826" t="s">
        <v>62</v>
      </c>
      <c r="G826">
        <v>4</v>
      </c>
      <c r="H826">
        <v>220000</v>
      </c>
      <c r="I826">
        <v>0</v>
      </c>
      <c r="J826" t="s">
        <v>41</v>
      </c>
      <c r="K826" s="14">
        <f t="shared" si="13"/>
        <v>880000</v>
      </c>
    </row>
    <row r="827" spans="1:11">
      <c r="A827" t="s">
        <v>910</v>
      </c>
      <c r="B827" s="2">
        <v>45239</v>
      </c>
      <c r="C827" t="s">
        <v>228</v>
      </c>
      <c r="D827" t="s">
        <v>50</v>
      </c>
      <c r="E827" t="s">
        <v>29</v>
      </c>
      <c r="F827" t="s">
        <v>12</v>
      </c>
      <c r="G827">
        <v>2</v>
      </c>
      <c r="H827">
        <v>220000</v>
      </c>
      <c r="I827">
        <v>10</v>
      </c>
      <c r="J827" t="s">
        <v>21</v>
      </c>
      <c r="K827" s="14">
        <f t="shared" si="13"/>
        <v>396000</v>
      </c>
    </row>
    <row r="828" spans="1:11">
      <c r="A828" t="s">
        <v>911</v>
      </c>
      <c r="B828" s="2">
        <v>45126</v>
      </c>
      <c r="C828" t="s">
        <v>82</v>
      </c>
      <c r="D828" t="s">
        <v>83</v>
      </c>
      <c r="E828" t="s">
        <v>84</v>
      </c>
      <c r="F828" t="s">
        <v>68</v>
      </c>
      <c r="G828">
        <v>1</v>
      </c>
      <c r="H828">
        <v>395000</v>
      </c>
      <c r="I828">
        <v>0</v>
      </c>
      <c r="J828" t="s">
        <v>71</v>
      </c>
      <c r="K828" s="14">
        <f t="shared" si="13"/>
        <v>395000</v>
      </c>
    </row>
    <row r="829" spans="1:11">
      <c r="A829" t="s">
        <v>912</v>
      </c>
      <c r="B829" s="2">
        <v>45095</v>
      </c>
      <c r="C829" t="s">
        <v>147</v>
      </c>
      <c r="D829" t="s">
        <v>148</v>
      </c>
      <c r="E829" t="s">
        <v>66</v>
      </c>
      <c r="F829" t="s">
        <v>12</v>
      </c>
      <c r="G829">
        <v>2</v>
      </c>
      <c r="H829">
        <v>305000</v>
      </c>
      <c r="I829">
        <v>20</v>
      </c>
      <c r="J829" t="s">
        <v>21</v>
      </c>
      <c r="K829" s="14">
        <f t="shared" si="13"/>
        <v>488000</v>
      </c>
    </row>
    <row r="830" spans="1:11">
      <c r="A830" t="s">
        <v>913</v>
      </c>
      <c r="B830" s="2">
        <v>45007</v>
      </c>
      <c r="C830" t="s">
        <v>96</v>
      </c>
      <c r="D830" t="s">
        <v>97</v>
      </c>
      <c r="E830" t="s">
        <v>98</v>
      </c>
      <c r="F830" t="s">
        <v>12</v>
      </c>
      <c r="G830">
        <v>1</v>
      </c>
      <c r="H830">
        <v>170000</v>
      </c>
      <c r="I830">
        <v>5</v>
      </c>
      <c r="J830" t="s">
        <v>16</v>
      </c>
      <c r="K830" s="14">
        <f t="shared" si="13"/>
        <v>161500</v>
      </c>
    </row>
    <row r="831" spans="1:11">
      <c r="A831" t="s">
        <v>914</v>
      </c>
      <c r="B831" s="2">
        <v>45170</v>
      </c>
      <c r="C831" t="s">
        <v>144</v>
      </c>
      <c r="D831" t="s">
        <v>142</v>
      </c>
      <c r="E831" t="s">
        <v>66</v>
      </c>
      <c r="F831" t="s">
        <v>1268</v>
      </c>
      <c r="G831">
        <v>2</v>
      </c>
      <c r="H831">
        <v>330000</v>
      </c>
      <c r="I831">
        <v>0</v>
      </c>
      <c r="J831" t="s">
        <v>16</v>
      </c>
      <c r="K831" s="14">
        <f t="shared" si="13"/>
        <v>660000</v>
      </c>
    </row>
    <row r="832" spans="1:11">
      <c r="A832" t="s">
        <v>915</v>
      </c>
      <c r="B832" s="2">
        <v>45124</v>
      </c>
      <c r="C832" t="s">
        <v>70</v>
      </c>
      <c r="D832" t="s">
        <v>65</v>
      </c>
      <c r="E832" t="s">
        <v>66</v>
      </c>
      <c r="F832" t="s">
        <v>12</v>
      </c>
      <c r="G832">
        <v>1</v>
      </c>
      <c r="H832">
        <v>295000</v>
      </c>
      <c r="I832">
        <v>0</v>
      </c>
      <c r="J832" t="s">
        <v>16</v>
      </c>
      <c r="K832" s="14">
        <f t="shared" si="13"/>
        <v>295000</v>
      </c>
    </row>
    <row r="833" spans="1:11">
      <c r="A833" t="s">
        <v>916</v>
      </c>
      <c r="B833" s="2">
        <v>45025</v>
      </c>
      <c r="C833" t="s">
        <v>90</v>
      </c>
      <c r="D833" t="s">
        <v>91</v>
      </c>
      <c r="E833" t="s">
        <v>11</v>
      </c>
      <c r="F833" t="s">
        <v>12</v>
      </c>
      <c r="G833">
        <v>1</v>
      </c>
      <c r="H833">
        <v>425000</v>
      </c>
      <c r="I833">
        <v>0</v>
      </c>
      <c r="J833" t="s">
        <v>1268</v>
      </c>
      <c r="K833" s="14">
        <f t="shared" si="13"/>
        <v>425000</v>
      </c>
    </row>
    <row r="834" spans="1:11">
      <c r="A834" t="s">
        <v>917</v>
      </c>
      <c r="B834" s="2">
        <v>44955</v>
      </c>
      <c r="C834" t="s">
        <v>82</v>
      </c>
      <c r="D834" t="s">
        <v>83</v>
      </c>
      <c r="E834" t="s">
        <v>84</v>
      </c>
      <c r="F834" t="s">
        <v>68</v>
      </c>
      <c r="G834">
        <v>2</v>
      </c>
      <c r="H834">
        <v>395000</v>
      </c>
      <c r="I834">
        <v>20</v>
      </c>
      <c r="J834" t="s">
        <v>16</v>
      </c>
      <c r="K834" s="14">
        <f t="shared" si="13"/>
        <v>632000</v>
      </c>
    </row>
    <row r="835" spans="1:11">
      <c r="A835" t="s">
        <v>918</v>
      </c>
      <c r="B835" s="2">
        <v>45284</v>
      </c>
      <c r="C835" t="s">
        <v>49</v>
      </c>
      <c r="D835" t="s">
        <v>50</v>
      </c>
      <c r="E835" t="s">
        <v>29</v>
      </c>
      <c r="F835" t="s">
        <v>62</v>
      </c>
      <c r="G835">
        <v>1</v>
      </c>
      <c r="H835">
        <v>220000</v>
      </c>
      <c r="I835">
        <v>10</v>
      </c>
      <c r="J835" t="s">
        <v>16</v>
      </c>
      <c r="K835" s="14">
        <f t="shared" si="13"/>
        <v>198000</v>
      </c>
    </row>
    <row r="836" spans="1:11">
      <c r="A836" t="s">
        <v>919</v>
      </c>
      <c r="B836" s="2">
        <v>45197</v>
      </c>
      <c r="C836" t="s">
        <v>38</v>
      </c>
      <c r="D836" t="s">
        <v>39</v>
      </c>
      <c r="E836" t="s">
        <v>40</v>
      </c>
      <c r="F836" t="s">
        <v>12</v>
      </c>
      <c r="G836">
        <v>2</v>
      </c>
      <c r="H836">
        <v>320000</v>
      </c>
      <c r="I836">
        <v>0</v>
      </c>
      <c r="J836" t="s">
        <v>21</v>
      </c>
      <c r="K836" s="14">
        <f t="shared" si="13"/>
        <v>640000</v>
      </c>
    </row>
    <row r="837" spans="1:11">
      <c r="A837" t="s">
        <v>920</v>
      </c>
      <c r="B837" s="2">
        <v>45216</v>
      </c>
      <c r="C837" t="s">
        <v>38</v>
      </c>
      <c r="D837" t="s">
        <v>39</v>
      </c>
      <c r="E837" t="s">
        <v>40</v>
      </c>
      <c r="F837" t="s">
        <v>12</v>
      </c>
      <c r="G837">
        <v>3</v>
      </c>
      <c r="H837">
        <v>320000</v>
      </c>
      <c r="I837">
        <v>0</v>
      </c>
      <c r="J837" t="s">
        <v>16</v>
      </c>
      <c r="K837" s="14">
        <f t="shared" si="13"/>
        <v>960000</v>
      </c>
    </row>
    <row r="838" spans="1:11">
      <c r="A838" t="s">
        <v>921</v>
      </c>
      <c r="B838" s="2">
        <v>45114</v>
      </c>
      <c r="C838" t="s">
        <v>139</v>
      </c>
      <c r="D838" t="s">
        <v>61</v>
      </c>
      <c r="E838" t="s">
        <v>20</v>
      </c>
      <c r="F838" t="s">
        <v>12</v>
      </c>
      <c r="G838">
        <v>1</v>
      </c>
      <c r="H838">
        <v>260000</v>
      </c>
      <c r="I838">
        <v>5</v>
      </c>
      <c r="J838" t="s">
        <v>16</v>
      </c>
      <c r="K838" s="14">
        <f t="shared" si="13"/>
        <v>247000</v>
      </c>
    </row>
    <row r="839" spans="1:11">
      <c r="A839" t="s">
        <v>922</v>
      </c>
      <c r="B839" s="2">
        <v>44995</v>
      </c>
      <c r="C839" t="s">
        <v>108</v>
      </c>
      <c r="D839" t="s">
        <v>56</v>
      </c>
      <c r="E839" t="s">
        <v>57</v>
      </c>
      <c r="F839" t="s">
        <v>12</v>
      </c>
      <c r="G839">
        <v>1</v>
      </c>
      <c r="H839">
        <v>105000</v>
      </c>
      <c r="I839">
        <v>10</v>
      </c>
      <c r="J839" t="s">
        <v>71</v>
      </c>
      <c r="K839" s="14">
        <f t="shared" si="13"/>
        <v>94500</v>
      </c>
    </row>
    <row r="840" spans="1:11">
      <c r="A840" t="s">
        <v>923</v>
      </c>
      <c r="B840" s="2">
        <v>45211</v>
      </c>
      <c r="C840" t="s">
        <v>215</v>
      </c>
      <c r="D840" t="s">
        <v>10</v>
      </c>
      <c r="E840" t="s">
        <v>11</v>
      </c>
      <c r="F840" t="s">
        <v>12</v>
      </c>
      <c r="G840">
        <v>4</v>
      </c>
      <c r="H840">
        <v>420000</v>
      </c>
      <c r="I840">
        <v>0</v>
      </c>
      <c r="J840" t="s">
        <v>41</v>
      </c>
      <c r="K840" s="14">
        <f t="shared" si="13"/>
        <v>1680000</v>
      </c>
    </row>
    <row r="841" spans="1:11">
      <c r="A841" t="s">
        <v>924</v>
      </c>
      <c r="B841" s="2">
        <v>45098</v>
      </c>
      <c r="C841" t="s">
        <v>147</v>
      </c>
      <c r="D841" t="s">
        <v>148</v>
      </c>
      <c r="E841" t="s">
        <v>66</v>
      </c>
      <c r="F841" t="s">
        <v>12</v>
      </c>
      <c r="G841">
        <v>3</v>
      </c>
      <c r="H841">
        <v>305000</v>
      </c>
      <c r="I841">
        <v>0</v>
      </c>
      <c r="J841" t="s">
        <v>41</v>
      </c>
      <c r="K841" s="14">
        <f t="shared" si="13"/>
        <v>915000</v>
      </c>
    </row>
    <row r="842" spans="1:11">
      <c r="A842" t="s">
        <v>925</v>
      </c>
      <c r="B842" s="2">
        <v>45200</v>
      </c>
      <c r="C842" t="s">
        <v>23</v>
      </c>
      <c r="D842" t="s">
        <v>24</v>
      </c>
      <c r="E842" t="s">
        <v>25</v>
      </c>
      <c r="F842" t="s">
        <v>12</v>
      </c>
      <c r="G842">
        <v>1</v>
      </c>
      <c r="H842">
        <v>182000</v>
      </c>
      <c r="I842">
        <v>0</v>
      </c>
      <c r="J842" t="s">
        <v>16</v>
      </c>
      <c r="K842" s="14">
        <f t="shared" si="13"/>
        <v>182000</v>
      </c>
    </row>
    <row r="843" spans="1:11">
      <c r="A843" t="s">
        <v>926</v>
      </c>
      <c r="B843" s="2">
        <v>45266</v>
      </c>
      <c r="C843" t="s">
        <v>144</v>
      </c>
      <c r="D843" t="s">
        <v>142</v>
      </c>
      <c r="E843" t="s">
        <v>66</v>
      </c>
      <c r="F843" t="s">
        <v>12</v>
      </c>
      <c r="G843">
        <v>5</v>
      </c>
      <c r="H843">
        <v>330000</v>
      </c>
      <c r="I843">
        <v>0</v>
      </c>
      <c r="J843" t="s">
        <v>16</v>
      </c>
      <c r="K843" s="14">
        <f t="shared" si="13"/>
        <v>1650000</v>
      </c>
    </row>
    <row r="844" spans="1:11">
      <c r="A844" t="s">
        <v>927</v>
      </c>
      <c r="B844" s="2">
        <v>45213</v>
      </c>
      <c r="C844" t="s">
        <v>144</v>
      </c>
      <c r="D844" t="s">
        <v>142</v>
      </c>
      <c r="E844" t="s">
        <v>66</v>
      </c>
      <c r="F844" t="s">
        <v>12</v>
      </c>
      <c r="G844">
        <v>3</v>
      </c>
      <c r="H844">
        <v>330000</v>
      </c>
      <c r="I844">
        <v>0</v>
      </c>
      <c r="J844" t="s">
        <v>16</v>
      </c>
      <c r="K844" s="14">
        <f t="shared" si="13"/>
        <v>990000</v>
      </c>
    </row>
    <row r="845" spans="1:11">
      <c r="A845" t="s">
        <v>928</v>
      </c>
      <c r="B845" s="2">
        <v>44987</v>
      </c>
      <c r="C845" t="s">
        <v>43</v>
      </c>
      <c r="D845" t="s">
        <v>44</v>
      </c>
      <c r="E845" t="s">
        <v>29</v>
      </c>
      <c r="F845" t="s">
        <v>68</v>
      </c>
      <c r="G845">
        <v>2</v>
      </c>
      <c r="H845">
        <v>235000</v>
      </c>
      <c r="I845">
        <v>0</v>
      </c>
      <c r="J845" t="s">
        <v>16</v>
      </c>
      <c r="K845" s="14">
        <f t="shared" si="13"/>
        <v>470000</v>
      </c>
    </row>
    <row r="846" spans="1:11">
      <c r="A846" t="s">
        <v>929</v>
      </c>
      <c r="B846" s="2">
        <v>45256</v>
      </c>
      <c r="C846" t="s">
        <v>108</v>
      </c>
      <c r="D846" t="s">
        <v>56</v>
      </c>
      <c r="E846" t="s">
        <v>57</v>
      </c>
      <c r="F846" t="s">
        <v>12</v>
      </c>
      <c r="G846">
        <v>1</v>
      </c>
      <c r="H846">
        <v>105000</v>
      </c>
      <c r="I846">
        <v>0</v>
      </c>
      <c r="J846" t="s">
        <v>16</v>
      </c>
      <c r="K846" s="14">
        <f t="shared" si="13"/>
        <v>105000</v>
      </c>
    </row>
    <row r="847" spans="1:11">
      <c r="A847" t="s">
        <v>930</v>
      </c>
      <c r="B847" s="2">
        <v>45272</v>
      </c>
      <c r="C847" t="s">
        <v>162</v>
      </c>
      <c r="D847" t="s">
        <v>56</v>
      </c>
      <c r="E847" t="s">
        <v>57</v>
      </c>
      <c r="F847" t="s">
        <v>68</v>
      </c>
      <c r="G847">
        <v>4</v>
      </c>
      <c r="H847">
        <v>105000</v>
      </c>
      <c r="I847">
        <v>0</v>
      </c>
      <c r="J847" t="s">
        <v>1268</v>
      </c>
      <c r="K847" s="14">
        <f t="shared" si="13"/>
        <v>420000</v>
      </c>
    </row>
    <row r="848" spans="1:11">
      <c r="A848" t="s">
        <v>931</v>
      </c>
      <c r="B848" s="2">
        <v>45046</v>
      </c>
      <c r="C848" t="s">
        <v>49</v>
      </c>
      <c r="D848" t="s">
        <v>50</v>
      </c>
      <c r="E848" t="s">
        <v>29</v>
      </c>
      <c r="F848" t="s">
        <v>62</v>
      </c>
      <c r="G848">
        <v>1</v>
      </c>
      <c r="H848">
        <v>220000</v>
      </c>
      <c r="I848">
        <v>0</v>
      </c>
      <c r="J848" t="s">
        <v>41</v>
      </c>
      <c r="K848" s="14">
        <f t="shared" si="13"/>
        <v>220000</v>
      </c>
    </row>
    <row r="849" spans="1:11">
      <c r="A849" t="s">
        <v>932</v>
      </c>
      <c r="B849" s="2">
        <v>45147</v>
      </c>
      <c r="C849" t="s">
        <v>131</v>
      </c>
      <c r="D849" t="s">
        <v>132</v>
      </c>
      <c r="E849" t="s">
        <v>20</v>
      </c>
      <c r="F849" t="s">
        <v>12</v>
      </c>
      <c r="G849">
        <v>2</v>
      </c>
      <c r="H849">
        <v>280000</v>
      </c>
      <c r="I849">
        <v>10</v>
      </c>
      <c r="J849" t="s">
        <v>41</v>
      </c>
      <c r="K849" s="14">
        <f t="shared" si="13"/>
        <v>504000</v>
      </c>
    </row>
    <row r="850" spans="1:11">
      <c r="A850" t="s">
        <v>933</v>
      </c>
      <c r="B850" s="2">
        <v>45014</v>
      </c>
      <c r="C850" t="s">
        <v>70</v>
      </c>
      <c r="D850" t="s">
        <v>65</v>
      </c>
      <c r="E850" t="s">
        <v>66</v>
      </c>
      <c r="F850" t="s">
        <v>12</v>
      </c>
      <c r="G850">
        <v>2</v>
      </c>
      <c r="H850">
        <v>295000</v>
      </c>
      <c r="I850">
        <v>0</v>
      </c>
      <c r="J850" t="s">
        <v>16</v>
      </c>
      <c r="K850" s="14">
        <f t="shared" si="13"/>
        <v>590000</v>
      </c>
    </row>
    <row r="851" spans="1:11">
      <c r="A851" t="s">
        <v>934</v>
      </c>
      <c r="B851" s="2">
        <v>45249</v>
      </c>
      <c r="C851" t="s">
        <v>215</v>
      </c>
      <c r="D851" t="s">
        <v>10</v>
      </c>
      <c r="E851" t="s">
        <v>11</v>
      </c>
      <c r="F851" t="s">
        <v>12</v>
      </c>
      <c r="G851">
        <v>1</v>
      </c>
      <c r="H851">
        <v>420000</v>
      </c>
      <c r="I851">
        <v>0</v>
      </c>
      <c r="J851" t="s">
        <v>16</v>
      </c>
      <c r="K851" s="14">
        <f t="shared" si="13"/>
        <v>420000</v>
      </c>
    </row>
    <row r="852" spans="1:11">
      <c r="A852" t="s">
        <v>935</v>
      </c>
      <c r="B852" s="2">
        <v>45039</v>
      </c>
      <c r="C852" t="s">
        <v>60</v>
      </c>
      <c r="D852" t="s">
        <v>61</v>
      </c>
      <c r="E852" t="s">
        <v>20</v>
      </c>
      <c r="F852" t="s">
        <v>62</v>
      </c>
      <c r="G852">
        <v>3</v>
      </c>
      <c r="H852">
        <v>260000</v>
      </c>
      <c r="I852">
        <v>0</v>
      </c>
      <c r="J852" t="s">
        <v>16</v>
      </c>
      <c r="K852" s="14">
        <f t="shared" si="13"/>
        <v>780000</v>
      </c>
    </row>
    <row r="853" spans="1:11">
      <c r="A853" t="s">
        <v>936</v>
      </c>
      <c r="B853" s="2">
        <v>45271</v>
      </c>
      <c r="C853" t="s">
        <v>162</v>
      </c>
      <c r="D853" t="s">
        <v>56</v>
      </c>
      <c r="E853" t="s">
        <v>57</v>
      </c>
      <c r="F853" t="s">
        <v>68</v>
      </c>
      <c r="G853">
        <v>1</v>
      </c>
      <c r="H853">
        <v>105000</v>
      </c>
      <c r="I853">
        <v>0</v>
      </c>
      <c r="J853" t="s">
        <v>71</v>
      </c>
      <c r="K853" s="14">
        <f t="shared" si="13"/>
        <v>105000</v>
      </c>
    </row>
    <row r="854" spans="1:11">
      <c r="A854" t="s">
        <v>937</v>
      </c>
      <c r="B854" s="2">
        <v>45146</v>
      </c>
      <c r="C854" t="s">
        <v>131</v>
      </c>
      <c r="D854" t="s">
        <v>132</v>
      </c>
      <c r="E854" t="s">
        <v>20</v>
      </c>
      <c r="F854" t="s">
        <v>12</v>
      </c>
      <c r="G854">
        <v>3</v>
      </c>
      <c r="H854">
        <v>280000</v>
      </c>
      <c r="I854">
        <v>5</v>
      </c>
      <c r="J854" t="s">
        <v>21</v>
      </c>
      <c r="K854" s="14">
        <f t="shared" si="13"/>
        <v>798000</v>
      </c>
    </row>
    <row r="855" spans="1:11">
      <c r="A855" t="s">
        <v>938</v>
      </c>
      <c r="B855" s="2">
        <v>44942</v>
      </c>
      <c r="C855" t="s">
        <v>104</v>
      </c>
      <c r="D855" t="s">
        <v>105</v>
      </c>
      <c r="E855" t="s">
        <v>29</v>
      </c>
      <c r="F855" t="s">
        <v>12</v>
      </c>
      <c r="G855">
        <v>4</v>
      </c>
      <c r="H855">
        <v>210000</v>
      </c>
      <c r="I855">
        <v>0</v>
      </c>
      <c r="J855" t="s">
        <v>16</v>
      </c>
      <c r="K855" s="14">
        <f t="shared" si="13"/>
        <v>840000</v>
      </c>
    </row>
    <row r="856" spans="1:11">
      <c r="A856" t="s">
        <v>939</v>
      </c>
      <c r="B856" s="2">
        <v>45122</v>
      </c>
      <c r="C856" t="s">
        <v>64</v>
      </c>
      <c r="D856" t="s">
        <v>65</v>
      </c>
      <c r="E856" t="s">
        <v>66</v>
      </c>
      <c r="F856" t="s">
        <v>62</v>
      </c>
      <c r="G856">
        <v>1</v>
      </c>
      <c r="H856">
        <v>295000</v>
      </c>
      <c r="I856">
        <v>0</v>
      </c>
      <c r="J856" t="s">
        <v>16</v>
      </c>
      <c r="K856" s="14">
        <f t="shared" si="13"/>
        <v>295000</v>
      </c>
    </row>
    <row r="857" spans="1:11">
      <c r="A857" t="s">
        <v>940</v>
      </c>
      <c r="B857" s="2">
        <v>44934</v>
      </c>
      <c r="C857" t="s">
        <v>31</v>
      </c>
      <c r="D857" t="s">
        <v>32</v>
      </c>
      <c r="E857" t="s">
        <v>29</v>
      </c>
      <c r="F857" t="s">
        <v>68</v>
      </c>
      <c r="G857">
        <v>3</v>
      </c>
      <c r="H857">
        <v>215000</v>
      </c>
      <c r="I857">
        <v>0</v>
      </c>
      <c r="J857" t="s">
        <v>1268</v>
      </c>
      <c r="K857" s="14">
        <f t="shared" si="13"/>
        <v>645000</v>
      </c>
    </row>
    <row r="858" spans="1:11">
      <c r="A858" t="s">
        <v>941</v>
      </c>
      <c r="B858" s="2">
        <v>45280</v>
      </c>
      <c r="C858" t="s">
        <v>101</v>
      </c>
      <c r="D858" t="s">
        <v>102</v>
      </c>
      <c r="E858" t="s">
        <v>11</v>
      </c>
      <c r="F858" t="s">
        <v>12</v>
      </c>
      <c r="G858">
        <v>-2</v>
      </c>
      <c r="H858">
        <v>430000</v>
      </c>
      <c r="I858">
        <v>0</v>
      </c>
      <c r="J858" t="s">
        <v>21</v>
      </c>
      <c r="K858" s="14">
        <f t="shared" si="13"/>
        <v>-860000</v>
      </c>
    </row>
    <row r="859" spans="1:11">
      <c r="A859" t="s">
        <v>942</v>
      </c>
      <c r="B859" s="2">
        <v>45283</v>
      </c>
      <c r="C859" t="s">
        <v>70</v>
      </c>
      <c r="D859" t="s">
        <v>65</v>
      </c>
      <c r="E859" t="s">
        <v>66</v>
      </c>
      <c r="F859" t="s">
        <v>12</v>
      </c>
      <c r="G859">
        <v>4</v>
      </c>
      <c r="H859">
        <v>295000</v>
      </c>
      <c r="I859">
        <v>0</v>
      </c>
      <c r="J859" t="s">
        <v>21</v>
      </c>
      <c r="K859" s="14">
        <f t="shared" si="13"/>
        <v>1180000</v>
      </c>
    </row>
    <row r="860" spans="1:11">
      <c r="A860" t="s">
        <v>943</v>
      </c>
      <c r="B860" s="2">
        <v>45271</v>
      </c>
      <c r="C860" t="s">
        <v>70</v>
      </c>
      <c r="D860" t="s">
        <v>65</v>
      </c>
      <c r="E860" t="s">
        <v>66</v>
      </c>
      <c r="F860" t="s">
        <v>12</v>
      </c>
      <c r="G860">
        <v>2</v>
      </c>
      <c r="H860">
        <v>295000</v>
      </c>
      <c r="I860">
        <v>0</v>
      </c>
      <c r="J860" t="s">
        <v>21</v>
      </c>
      <c r="K860" s="14">
        <f t="shared" si="13"/>
        <v>590000</v>
      </c>
    </row>
    <row r="861" spans="1:11">
      <c r="A861" t="s">
        <v>944</v>
      </c>
      <c r="B861" s="2">
        <v>45217</v>
      </c>
      <c r="C861" t="s">
        <v>119</v>
      </c>
      <c r="D861" t="s">
        <v>120</v>
      </c>
      <c r="E861" t="s">
        <v>11</v>
      </c>
      <c r="F861" t="s">
        <v>68</v>
      </c>
      <c r="G861">
        <v>2</v>
      </c>
      <c r="H861">
        <v>440000</v>
      </c>
      <c r="I861">
        <v>0</v>
      </c>
      <c r="J861" t="s">
        <v>21</v>
      </c>
      <c r="K861" s="14">
        <f t="shared" si="13"/>
        <v>880000</v>
      </c>
    </row>
    <row r="862" spans="1:11">
      <c r="A862" t="s">
        <v>945</v>
      </c>
      <c r="B862" s="2">
        <v>45100</v>
      </c>
      <c r="C862" t="s">
        <v>88</v>
      </c>
      <c r="D862" t="s">
        <v>10</v>
      </c>
      <c r="E862" t="s">
        <v>11</v>
      </c>
      <c r="F862" t="s">
        <v>62</v>
      </c>
      <c r="G862">
        <v>3</v>
      </c>
      <c r="H862">
        <v>420000</v>
      </c>
      <c r="I862">
        <v>0</v>
      </c>
      <c r="J862" t="s">
        <v>41</v>
      </c>
      <c r="K862" s="14">
        <f t="shared" si="13"/>
        <v>1260000</v>
      </c>
    </row>
    <row r="863" spans="1:11">
      <c r="A863" t="s">
        <v>946</v>
      </c>
      <c r="B863" s="2">
        <v>45182</v>
      </c>
      <c r="C863" t="s">
        <v>75</v>
      </c>
      <c r="D863" t="s">
        <v>32</v>
      </c>
      <c r="E863" t="s">
        <v>29</v>
      </c>
      <c r="F863" t="s">
        <v>12</v>
      </c>
      <c r="G863">
        <v>1</v>
      </c>
      <c r="H863">
        <v>215000</v>
      </c>
      <c r="I863">
        <v>0</v>
      </c>
      <c r="J863" t="s">
        <v>41</v>
      </c>
      <c r="K863" s="14">
        <f t="shared" si="13"/>
        <v>215000</v>
      </c>
    </row>
    <row r="864" spans="1:11">
      <c r="A864" t="s">
        <v>947</v>
      </c>
      <c r="B864" s="2">
        <v>45072</v>
      </c>
      <c r="C864" t="s">
        <v>108</v>
      </c>
      <c r="D864" t="s">
        <v>56</v>
      </c>
      <c r="E864" t="s">
        <v>57</v>
      </c>
      <c r="F864" t="s">
        <v>12</v>
      </c>
      <c r="G864">
        <v>1</v>
      </c>
      <c r="H864">
        <v>105000</v>
      </c>
      <c r="I864">
        <v>0</v>
      </c>
      <c r="J864" t="s">
        <v>16</v>
      </c>
      <c r="K864" s="14">
        <f t="shared" si="13"/>
        <v>105000</v>
      </c>
    </row>
    <row r="865" spans="1:11">
      <c r="A865" t="s">
        <v>948</v>
      </c>
      <c r="B865" s="2">
        <v>45261</v>
      </c>
      <c r="C865" t="s">
        <v>139</v>
      </c>
      <c r="D865" t="s">
        <v>61</v>
      </c>
      <c r="E865" t="s">
        <v>20</v>
      </c>
      <c r="F865" t="s">
        <v>12</v>
      </c>
      <c r="G865">
        <v>1</v>
      </c>
      <c r="H865">
        <v>260000</v>
      </c>
      <c r="I865">
        <v>15</v>
      </c>
      <c r="J865" t="s">
        <v>71</v>
      </c>
      <c r="K865" s="14">
        <f t="shared" si="13"/>
        <v>221000</v>
      </c>
    </row>
    <row r="866" spans="1:11">
      <c r="A866" t="s">
        <v>949</v>
      </c>
      <c r="B866" s="2">
        <v>45165</v>
      </c>
      <c r="C866" t="s">
        <v>299</v>
      </c>
      <c r="D866" t="s">
        <v>120</v>
      </c>
      <c r="E866" t="s">
        <v>11</v>
      </c>
      <c r="F866" t="s">
        <v>12</v>
      </c>
      <c r="G866">
        <v>2</v>
      </c>
      <c r="H866">
        <v>440000</v>
      </c>
      <c r="I866">
        <v>10</v>
      </c>
      <c r="J866" t="s">
        <v>71</v>
      </c>
      <c r="K866" s="14">
        <f t="shared" si="13"/>
        <v>792000</v>
      </c>
    </row>
    <row r="867" spans="1:11">
      <c r="A867" t="s">
        <v>950</v>
      </c>
      <c r="B867" s="2">
        <v>45184</v>
      </c>
      <c r="C867" t="s">
        <v>153</v>
      </c>
      <c r="D867" t="s">
        <v>83</v>
      </c>
      <c r="E867" t="s">
        <v>84</v>
      </c>
      <c r="F867" t="s">
        <v>12</v>
      </c>
      <c r="G867">
        <v>3</v>
      </c>
      <c r="H867">
        <v>395000</v>
      </c>
      <c r="I867">
        <v>0</v>
      </c>
      <c r="J867" t="s">
        <v>16</v>
      </c>
      <c r="K867" s="14">
        <f t="shared" si="13"/>
        <v>1185000</v>
      </c>
    </row>
    <row r="868" spans="1:11">
      <c r="A868" t="s">
        <v>951</v>
      </c>
      <c r="B868" s="2">
        <v>45142</v>
      </c>
      <c r="C868" t="s">
        <v>75</v>
      </c>
      <c r="D868" t="s">
        <v>32</v>
      </c>
      <c r="E868" t="s">
        <v>29</v>
      </c>
      <c r="F868" t="s">
        <v>12</v>
      </c>
      <c r="G868">
        <v>2</v>
      </c>
      <c r="H868">
        <v>215000</v>
      </c>
      <c r="I868">
        <v>10</v>
      </c>
      <c r="J868" t="s">
        <v>21</v>
      </c>
      <c r="K868" s="14">
        <f t="shared" si="13"/>
        <v>387000</v>
      </c>
    </row>
    <row r="869" spans="1:11">
      <c r="A869" t="s">
        <v>952</v>
      </c>
      <c r="B869" s="2">
        <v>45126</v>
      </c>
      <c r="C869" t="s">
        <v>23</v>
      </c>
      <c r="D869" t="s">
        <v>24</v>
      </c>
      <c r="E869" t="s">
        <v>25</v>
      </c>
      <c r="F869" t="s">
        <v>1268</v>
      </c>
      <c r="G869">
        <v>2</v>
      </c>
      <c r="H869">
        <v>182000</v>
      </c>
      <c r="I869">
        <v>5</v>
      </c>
      <c r="J869" t="s">
        <v>21</v>
      </c>
      <c r="K869" s="14">
        <f t="shared" si="13"/>
        <v>345800</v>
      </c>
    </row>
    <row r="870" spans="1:11">
      <c r="A870" t="s">
        <v>953</v>
      </c>
      <c r="B870" s="2">
        <v>45234</v>
      </c>
      <c r="C870" t="s">
        <v>52</v>
      </c>
      <c r="D870" t="s">
        <v>53</v>
      </c>
      <c r="E870" t="s">
        <v>1293</v>
      </c>
      <c r="F870" t="s">
        <v>12</v>
      </c>
      <c r="G870">
        <v>1</v>
      </c>
      <c r="H870">
        <v>195000</v>
      </c>
      <c r="I870">
        <v>0</v>
      </c>
      <c r="J870" t="s">
        <v>21</v>
      </c>
      <c r="K870" s="14">
        <f t="shared" si="13"/>
        <v>195000</v>
      </c>
    </row>
    <row r="871" spans="1:11">
      <c r="A871" t="s">
        <v>954</v>
      </c>
      <c r="B871" s="2">
        <v>44998</v>
      </c>
      <c r="C871" t="s">
        <v>299</v>
      </c>
      <c r="D871" t="s">
        <v>120</v>
      </c>
      <c r="E871" t="s">
        <v>11</v>
      </c>
      <c r="F871" t="s">
        <v>1268</v>
      </c>
      <c r="G871">
        <v>2</v>
      </c>
      <c r="H871">
        <v>440000</v>
      </c>
      <c r="I871">
        <v>15</v>
      </c>
      <c r="J871" t="s">
        <v>16</v>
      </c>
      <c r="K871" s="14">
        <f t="shared" si="13"/>
        <v>748000</v>
      </c>
    </row>
    <row r="872" spans="1:11">
      <c r="A872" t="s">
        <v>955</v>
      </c>
      <c r="B872" s="2">
        <v>45015</v>
      </c>
      <c r="C872" t="s">
        <v>23</v>
      </c>
      <c r="D872" t="s">
        <v>24</v>
      </c>
      <c r="E872" t="s">
        <v>25</v>
      </c>
      <c r="F872" t="s">
        <v>12</v>
      </c>
      <c r="G872">
        <v>3</v>
      </c>
      <c r="H872">
        <v>182000</v>
      </c>
      <c r="I872">
        <v>0</v>
      </c>
      <c r="J872" t="s">
        <v>41</v>
      </c>
      <c r="K872" s="14">
        <f t="shared" si="13"/>
        <v>546000</v>
      </c>
    </row>
    <row r="873" spans="1:11">
      <c r="A873" t="s">
        <v>956</v>
      </c>
      <c r="B873" s="2">
        <v>45120</v>
      </c>
      <c r="C873" t="s">
        <v>70</v>
      </c>
      <c r="D873" t="s">
        <v>65</v>
      </c>
      <c r="E873" t="s">
        <v>66</v>
      </c>
      <c r="F873" t="s">
        <v>12</v>
      </c>
      <c r="G873">
        <v>1</v>
      </c>
      <c r="H873">
        <v>295000</v>
      </c>
      <c r="I873">
        <v>0</v>
      </c>
      <c r="J873" t="s">
        <v>21</v>
      </c>
      <c r="K873" s="14">
        <f t="shared" si="13"/>
        <v>295000</v>
      </c>
    </row>
    <row r="874" spans="1:11">
      <c r="A874" t="s">
        <v>957</v>
      </c>
      <c r="B874" s="2">
        <v>45192</v>
      </c>
      <c r="C874" t="s">
        <v>108</v>
      </c>
      <c r="D874" t="s">
        <v>56</v>
      </c>
      <c r="E874" t="s">
        <v>57</v>
      </c>
      <c r="F874" t="s">
        <v>12</v>
      </c>
      <c r="G874">
        <v>5</v>
      </c>
      <c r="H874">
        <v>105000</v>
      </c>
      <c r="I874">
        <v>0</v>
      </c>
      <c r="J874" t="s">
        <v>21</v>
      </c>
      <c r="K874" s="14">
        <f t="shared" si="13"/>
        <v>525000</v>
      </c>
    </row>
    <row r="875" spans="1:11">
      <c r="A875" t="s">
        <v>958</v>
      </c>
      <c r="B875" s="2">
        <v>45088</v>
      </c>
      <c r="C875" t="s">
        <v>153</v>
      </c>
      <c r="D875" t="s">
        <v>83</v>
      </c>
      <c r="E875" t="s">
        <v>84</v>
      </c>
      <c r="F875" t="s">
        <v>12</v>
      </c>
      <c r="G875">
        <v>1</v>
      </c>
      <c r="H875">
        <v>395000</v>
      </c>
      <c r="I875">
        <v>0</v>
      </c>
      <c r="J875" t="s">
        <v>16</v>
      </c>
      <c r="K875" s="14">
        <f t="shared" si="13"/>
        <v>395000</v>
      </c>
    </row>
    <row r="876" spans="1:11">
      <c r="A876" t="s">
        <v>959</v>
      </c>
      <c r="B876" s="2">
        <v>45180</v>
      </c>
      <c r="C876" t="s">
        <v>94</v>
      </c>
      <c r="D876" t="s">
        <v>50</v>
      </c>
      <c r="E876" t="s">
        <v>29</v>
      </c>
      <c r="F876" t="s">
        <v>68</v>
      </c>
      <c r="G876">
        <v>4</v>
      </c>
      <c r="H876">
        <v>220000</v>
      </c>
      <c r="I876">
        <v>0</v>
      </c>
      <c r="J876" t="s">
        <v>71</v>
      </c>
      <c r="K876" s="14">
        <f t="shared" si="13"/>
        <v>880000</v>
      </c>
    </row>
    <row r="877" spans="1:11">
      <c r="A877" t="s">
        <v>960</v>
      </c>
      <c r="B877" s="2">
        <v>45241</v>
      </c>
      <c r="C877" t="s">
        <v>215</v>
      </c>
      <c r="D877" t="s">
        <v>10</v>
      </c>
      <c r="E877" t="s">
        <v>11</v>
      </c>
      <c r="F877" t="s">
        <v>12</v>
      </c>
      <c r="G877">
        <v>1</v>
      </c>
      <c r="H877">
        <v>420000</v>
      </c>
      <c r="I877">
        <v>0</v>
      </c>
      <c r="J877" t="s">
        <v>1268</v>
      </c>
      <c r="K877" s="14">
        <f t="shared" ref="K877:K940" si="14">G877*H877*(1-I877/100)</f>
        <v>420000</v>
      </c>
    </row>
    <row r="878" spans="1:11">
      <c r="A878" t="s">
        <v>961</v>
      </c>
      <c r="B878" s="2">
        <v>44931</v>
      </c>
      <c r="C878" t="s">
        <v>90</v>
      </c>
      <c r="D878" t="s">
        <v>91</v>
      </c>
      <c r="E878" t="s">
        <v>11</v>
      </c>
      <c r="F878" t="s">
        <v>12</v>
      </c>
      <c r="G878">
        <v>5</v>
      </c>
      <c r="H878">
        <v>425000</v>
      </c>
      <c r="I878">
        <v>0</v>
      </c>
      <c r="J878" t="s">
        <v>16</v>
      </c>
      <c r="K878" s="14">
        <f t="shared" si="14"/>
        <v>2125000</v>
      </c>
    </row>
    <row r="879" spans="1:11">
      <c r="A879" t="s">
        <v>962</v>
      </c>
      <c r="B879" s="2">
        <v>45013</v>
      </c>
      <c r="C879" t="s">
        <v>96</v>
      </c>
      <c r="D879" t="s">
        <v>97</v>
      </c>
      <c r="E879" t="s">
        <v>98</v>
      </c>
      <c r="F879" t="s">
        <v>12</v>
      </c>
      <c r="G879">
        <v>2</v>
      </c>
      <c r="H879">
        <v>170000</v>
      </c>
      <c r="I879">
        <v>0</v>
      </c>
      <c r="J879" t="s">
        <v>21</v>
      </c>
      <c r="K879" s="14">
        <f t="shared" si="14"/>
        <v>340000</v>
      </c>
    </row>
    <row r="880" spans="1:11">
      <c r="A880" t="s">
        <v>963</v>
      </c>
      <c r="B880" s="2">
        <v>45131</v>
      </c>
      <c r="C880" t="s">
        <v>228</v>
      </c>
      <c r="D880" t="s">
        <v>50</v>
      </c>
      <c r="E880" t="s">
        <v>29</v>
      </c>
      <c r="F880" t="s">
        <v>12</v>
      </c>
      <c r="G880">
        <v>1</v>
      </c>
      <c r="H880">
        <v>220000</v>
      </c>
      <c r="I880">
        <v>10</v>
      </c>
      <c r="J880" t="s">
        <v>71</v>
      </c>
      <c r="K880" s="14">
        <f t="shared" si="14"/>
        <v>198000</v>
      </c>
    </row>
    <row r="881" spans="1:11">
      <c r="A881" t="s">
        <v>964</v>
      </c>
      <c r="B881" s="2">
        <v>45056</v>
      </c>
      <c r="C881" t="s">
        <v>101</v>
      </c>
      <c r="D881" t="s">
        <v>102</v>
      </c>
      <c r="E881" t="s">
        <v>11</v>
      </c>
      <c r="F881" t="s">
        <v>12</v>
      </c>
      <c r="G881">
        <v>1</v>
      </c>
      <c r="H881">
        <v>430000</v>
      </c>
      <c r="I881">
        <v>5</v>
      </c>
      <c r="J881" t="s">
        <v>41</v>
      </c>
      <c r="K881" s="14">
        <f t="shared" si="14"/>
        <v>408500</v>
      </c>
    </row>
    <row r="882" spans="1:11">
      <c r="A882" t="s">
        <v>965</v>
      </c>
      <c r="B882" s="2">
        <v>44995</v>
      </c>
      <c r="C882" t="s">
        <v>122</v>
      </c>
      <c r="D882" t="s">
        <v>123</v>
      </c>
      <c r="E882" t="s">
        <v>124</v>
      </c>
      <c r="F882" t="s">
        <v>12</v>
      </c>
      <c r="G882">
        <v>1</v>
      </c>
      <c r="H882">
        <v>228000</v>
      </c>
      <c r="I882">
        <v>0</v>
      </c>
      <c r="J882" t="s">
        <v>41</v>
      </c>
      <c r="K882" s="14">
        <f t="shared" si="14"/>
        <v>228000</v>
      </c>
    </row>
    <row r="883" spans="1:11">
      <c r="A883" t="s">
        <v>966</v>
      </c>
      <c r="B883" s="2">
        <v>45135</v>
      </c>
      <c r="C883" t="s">
        <v>43</v>
      </c>
      <c r="D883" t="s">
        <v>44</v>
      </c>
      <c r="E883" t="s">
        <v>29</v>
      </c>
      <c r="F883" t="s">
        <v>68</v>
      </c>
      <c r="G883">
        <v>3</v>
      </c>
      <c r="H883">
        <v>235000</v>
      </c>
      <c r="I883">
        <v>0</v>
      </c>
      <c r="J883" t="s">
        <v>16</v>
      </c>
      <c r="K883" s="14">
        <f t="shared" si="14"/>
        <v>705000</v>
      </c>
    </row>
    <row r="884" spans="1:11">
      <c r="A884" t="s">
        <v>967</v>
      </c>
      <c r="B884" s="2">
        <v>45096</v>
      </c>
      <c r="C884" t="s">
        <v>104</v>
      </c>
      <c r="D884" t="s">
        <v>105</v>
      </c>
      <c r="E884" t="s">
        <v>29</v>
      </c>
      <c r="F884" t="s">
        <v>12</v>
      </c>
      <c r="G884">
        <v>3</v>
      </c>
      <c r="H884">
        <v>210000</v>
      </c>
      <c r="I884">
        <v>5</v>
      </c>
      <c r="J884" t="s">
        <v>71</v>
      </c>
      <c r="K884" s="14">
        <f t="shared" si="14"/>
        <v>598500</v>
      </c>
    </row>
    <row r="885" spans="1:11">
      <c r="A885" t="s">
        <v>968</v>
      </c>
      <c r="B885" s="2">
        <v>45009</v>
      </c>
      <c r="C885" t="s">
        <v>139</v>
      </c>
      <c r="D885" t="s">
        <v>61</v>
      </c>
      <c r="E885" t="s">
        <v>20</v>
      </c>
      <c r="F885" t="s">
        <v>12</v>
      </c>
      <c r="G885">
        <v>1</v>
      </c>
      <c r="H885">
        <v>260000</v>
      </c>
      <c r="I885">
        <v>0</v>
      </c>
      <c r="J885" t="s">
        <v>41</v>
      </c>
      <c r="K885" s="14">
        <f t="shared" si="14"/>
        <v>260000</v>
      </c>
    </row>
    <row r="886" spans="1:11">
      <c r="A886" t="s">
        <v>969</v>
      </c>
      <c r="B886" s="2">
        <v>45033</v>
      </c>
      <c r="C886" t="s">
        <v>162</v>
      </c>
      <c r="D886" t="s">
        <v>56</v>
      </c>
      <c r="E886" t="s">
        <v>57</v>
      </c>
      <c r="F886" t="s">
        <v>1268</v>
      </c>
      <c r="G886">
        <v>4</v>
      </c>
      <c r="H886">
        <v>105000</v>
      </c>
      <c r="I886">
        <v>0</v>
      </c>
      <c r="J886" t="s">
        <v>21</v>
      </c>
      <c r="K886" s="14">
        <f t="shared" si="14"/>
        <v>420000</v>
      </c>
    </row>
    <row r="887" spans="1:11">
      <c r="A887" t="s">
        <v>970</v>
      </c>
      <c r="B887" s="2">
        <v>45005</v>
      </c>
      <c r="C887" t="s">
        <v>15</v>
      </c>
      <c r="D887" t="s">
        <v>10</v>
      </c>
      <c r="E887" t="s">
        <v>11</v>
      </c>
      <c r="F887" t="s">
        <v>68</v>
      </c>
      <c r="G887">
        <v>5</v>
      </c>
      <c r="H887">
        <v>420000</v>
      </c>
      <c r="I887">
        <v>10</v>
      </c>
      <c r="J887" t="s">
        <v>16</v>
      </c>
      <c r="K887" s="14">
        <f t="shared" si="14"/>
        <v>1890000</v>
      </c>
    </row>
    <row r="888" spans="1:11">
      <c r="A888" t="s">
        <v>971</v>
      </c>
      <c r="B888" s="2">
        <v>45128</v>
      </c>
      <c r="C888" t="s">
        <v>184</v>
      </c>
      <c r="D888" t="s">
        <v>110</v>
      </c>
      <c r="E888" t="s">
        <v>66</v>
      </c>
      <c r="F888" t="s">
        <v>12</v>
      </c>
      <c r="G888">
        <v>4</v>
      </c>
      <c r="H888">
        <v>335000</v>
      </c>
      <c r="I888">
        <v>0</v>
      </c>
      <c r="J888" t="s">
        <v>21</v>
      </c>
      <c r="K888" s="14">
        <f t="shared" si="14"/>
        <v>1340000</v>
      </c>
    </row>
    <row r="889" spans="1:11">
      <c r="A889" t="s">
        <v>972</v>
      </c>
      <c r="B889" s="2">
        <v>45030</v>
      </c>
      <c r="C889" t="s">
        <v>122</v>
      </c>
      <c r="D889" t="s">
        <v>123</v>
      </c>
      <c r="E889" t="s">
        <v>124</v>
      </c>
      <c r="F889" t="s">
        <v>12</v>
      </c>
      <c r="G889">
        <v>1</v>
      </c>
      <c r="H889">
        <v>228000</v>
      </c>
      <c r="I889">
        <v>0</v>
      </c>
      <c r="J889" t="s">
        <v>16</v>
      </c>
      <c r="K889" s="14">
        <f t="shared" si="14"/>
        <v>228000</v>
      </c>
    </row>
    <row r="890" spans="1:11">
      <c r="A890" t="s">
        <v>973</v>
      </c>
      <c r="B890" s="2">
        <v>45265</v>
      </c>
      <c r="C890" t="s">
        <v>18</v>
      </c>
      <c r="D890" t="s">
        <v>19</v>
      </c>
      <c r="E890" t="s">
        <v>20</v>
      </c>
      <c r="F890" t="s">
        <v>12</v>
      </c>
      <c r="G890">
        <v>1</v>
      </c>
      <c r="H890">
        <v>265000</v>
      </c>
      <c r="I890">
        <v>0</v>
      </c>
      <c r="J890" t="s">
        <v>71</v>
      </c>
      <c r="K890" s="14">
        <f t="shared" si="14"/>
        <v>265000</v>
      </c>
    </row>
    <row r="891" spans="1:11">
      <c r="A891" t="s">
        <v>974</v>
      </c>
      <c r="B891" s="2">
        <v>45181</v>
      </c>
      <c r="C891" t="s">
        <v>104</v>
      </c>
      <c r="D891" t="s">
        <v>105</v>
      </c>
      <c r="E891" t="s">
        <v>29</v>
      </c>
      <c r="F891" t="s">
        <v>12</v>
      </c>
      <c r="G891">
        <v>3</v>
      </c>
      <c r="H891">
        <v>210000</v>
      </c>
      <c r="I891">
        <v>0</v>
      </c>
      <c r="J891" t="s">
        <v>287</v>
      </c>
      <c r="K891" s="14">
        <f t="shared" si="14"/>
        <v>630000</v>
      </c>
    </row>
    <row r="892" spans="1:11">
      <c r="A892" t="s">
        <v>975</v>
      </c>
      <c r="B892" s="2">
        <v>45132</v>
      </c>
      <c r="C892" t="s">
        <v>153</v>
      </c>
      <c r="D892" t="s">
        <v>83</v>
      </c>
      <c r="E892" t="s">
        <v>84</v>
      </c>
      <c r="F892" t="s">
        <v>12</v>
      </c>
      <c r="G892">
        <v>1</v>
      </c>
      <c r="H892">
        <v>395000</v>
      </c>
      <c r="I892">
        <v>0</v>
      </c>
      <c r="J892" t="s">
        <v>16</v>
      </c>
      <c r="K892" s="14">
        <f t="shared" si="14"/>
        <v>395000</v>
      </c>
    </row>
    <row r="893" spans="1:11">
      <c r="A893" t="s">
        <v>976</v>
      </c>
      <c r="B893" s="2">
        <v>45062</v>
      </c>
      <c r="C893" t="s">
        <v>18</v>
      </c>
      <c r="D893" t="s">
        <v>19</v>
      </c>
      <c r="E893" t="s">
        <v>20</v>
      </c>
      <c r="F893" t="s">
        <v>1268</v>
      </c>
      <c r="G893">
        <v>3</v>
      </c>
      <c r="H893">
        <v>265000</v>
      </c>
      <c r="I893">
        <v>0</v>
      </c>
      <c r="J893" t="s">
        <v>21</v>
      </c>
      <c r="K893" s="14">
        <f t="shared" si="14"/>
        <v>795000</v>
      </c>
    </row>
    <row r="894" spans="1:11">
      <c r="A894" t="s">
        <v>977</v>
      </c>
      <c r="B894" s="2">
        <v>45111</v>
      </c>
      <c r="C894" t="s">
        <v>31</v>
      </c>
      <c r="D894" t="s">
        <v>32</v>
      </c>
      <c r="E894" t="s">
        <v>29</v>
      </c>
      <c r="F894" t="s">
        <v>68</v>
      </c>
      <c r="G894">
        <v>1</v>
      </c>
      <c r="H894">
        <v>215000</v>
      </c>
      <c r="I894">
        <v>15</v>
      </c>
      <c r="J894" t="s">
        <v>16</v>
      </c>
      <c r="K894" s="14">
        <f t="shared" si="14"/>
        <v>182750</v>
      </c>
    </row>
    <row r="895" spans="1:11">
      <c r="A895" t="s">
        <v>978</v>
      </c>
      <c r="B895" s="2">
        <v>45165</v>
      </c>
      <c r="C895" t="s">
        <v>215</v>
      </c>
      <c r="D895" t="s">
        <v>10</v>
      </c>
      <c r="E895" t="s">
        <v>11</v>
      </c>
      <c r="F895" t="s">
        <v>12</v>
      </c>
      <c r="G895">
        <v>1</v>
      </c>
      <c r="H895">
        <v>420000</v>
      </c>
      <c r="I895">
        <v>0</v>
      </c>
      <c r="J895" t="s">
        <v>41</v>
      </c>
      <c r="K895" s="14">
        <f t="shared" si="14"/>
        <v>420000</v>
      </c>
    </row>
    <row r="896" spans="1:11">
      <c r="A896" t="s">
        <v>979</v>
      </c>
      <c r="B896" s="2">
        <v>44954</v>
      </c>
      <c r="C896" t="s">
        <v>299</v>
      </c>
      <c r="D896" t="s">
        <v>120</v>
      </c>
      <c r="E896" t="s">
        <v>11</v>
      </c>
      <c r="F896" t="s">
        <v>12</v>
      </c>
      <c r="G896">
        <v>1</v>
      </c>
      <c r="H896">
        <v>440000</v>
      </c>
      <c r="I896">
        <v>5</v>
      </c>
      <c r="J896" t="s">
        <v>16</v>
      </c>
      <c r="K896" s="14">
        <f t="shared" si="14"/>
        <v>418000</v>
      </c>
    </row>
    <row r="897" spans="1:11">
      <c r="A897" t="s">
        <v>980</v>
      </c>
      <c r="B897" s="2">
        <v>45013</v>
      </c>
      <c r="C897" t="s">
        <v>144</v>
      </c>
      <c r="D897" t="s">
        <v>142</v>
      </c>
      <c r="E897" t="s">
        <v>66</v>
      </c>
      <c r="F897" t="s">
        <v>12</v>
      </c>
      <c r="G897">
        <v>1</v>
      </c>
      <c r="H897">
        <v>330000</v>
      </c>
      <c r="I897">
        <v>0</v>
      </c>
      <c r="J897" t="s">
        <v>21</v>
      </c>
      <c r="K897" s="14">
        <f t="shared" si="14"/>
        <v>330000</v>
      </c>
    </row>
    <row r="898" spans="1:11">
      <c r="A898" t="s">
        <v>981</v>
      </c>
      <c r="B898" s="2">
        <v>45214</v>
      </c>
      <c r="C898" t="s">
        <v>55</v>
      </c>
      <c r="D898" t="s">
        <v>56</v>
      </c>
      <c r="E898" t="s">
        <v>57</v>
      </c>
      <c r="F898" t="s">
        <v>62</v>
      </c>
      <c r="G898">
        <v>1</v>
      </c>
      <c r="H898">
        <v>105000</v>
      </c>
      <c r="I898">
        <v>5</v>
      </c>
      <c r="J898" t="s">
        <v>16</v>
      </c>
      <c r="K898" s="14">
        <f t="shared" si="14"/>
        <v>99750</v>
      </c>
    </row>
    <row r="899" spans="1:11">
      <c r="A899" t="s">
        <v>982</v>
      </c>
      <c r="B899" s="2">
        <v>45128</v>
      </c>
      <c r="C899" t="s">
        <v>108</v>
      </c>
      <c r="D899" t="s">
        <v>56</v>
      </c>
      <c r="E899" t="s">
        <v>57</v>
      </c>
      <c r="F899" t="s">
        <v>12</v>
      </c>
      <c r="G899">
        <v>1</v>
      </c>
      <c r="H899">
        <v>105000</v>
      </c>
      <c r="I899">
        <v>20</v>
      </c>
      <c r="J899" t="s">
        <v>21</v>
      </c>
      <c r="K899" s="14">
        <f t="shared" si="14"/>
        <v>84000</v>
      </c>
    </row>
    <row r="900" spans="1:11">
      <c r="A900" t="s">
        <v>983</v>
      </c>
      <c r="B900" s="2">
        <v>45281</v>
      </c>
      <c r="C900" t="s">
        <v>75</v>
      </c>
      <c r="D900" t="s">
        <v>32</v>
      </c>
      <c r="E900" t="s">
        <v>29</v>
      </c>
      <c r="F900" t="s">
        <v>12</v>
      </c>
      <c r="G900">
        <v>1</v>
      </c>
      <c r="H900">
        <v>215000</v>
      </c>
      <c r="I900">
        <v>20</v>
      </c>
      <c r="J900" t="s">
        <v>16</v>
      </c>
      <c r="K900" s="14">
        <f t="shared" si="14"/>
        <v>172000</v>
      </c>
    </row>
    <row r="901" spans="1:11">
      <c r="A901" t="s">
        <v>984</v>
      </c>
      <c r="B901" s="2">
        <v>45207</v>
      </c>
      <c r="C901" t="s">
        <v>64</v>
      </c>
      <c r="D901" t="s">
        <v>65</v>
      </c>
      <c r="E901" t="s">
        <v>66</v>
      </c>
      <c r="F901" t="s">
        <v>62</v>
      </c>
      <c r="G901">
        <v>2</v>
      </c>
      <c r="H901">
        <v>295000</v>
      </c>
      <c r="I901">
        <v>5</v>
      </c>
      <c r="J901" t="s">
        <v>21</v>
      </c>
      <c r="K901" s="14">
        <f t="shared" si="14"/>
        <v>560500</v>
      </c>
    </row>
    <row r="902" spans="1:11">
      <c r="A902" t="s">
        <v>985</v>
      </c>
      <c r="B902" s="2">
        <v>45023</v>
      </c>
      <c r="C902" t="s">
        <v>131</v>
      </c>
      <c r="D902" t="s">
        <v>132</v>
      </c>
      <c r="E902" t="s">
        <v>20</v>
      </c>
      <c r="F902" t="s">
        <v>12</v>
      </c>
      <c r="G902">
        <v>1</v>
      </c>
      <c r="H902">
        <v>280000</v>
      </c>
      <c r="I902">
        <v>0</v>
      </c>
      <c r="J902" t="s">
        <v>1268</v>
      </c>
      <c r="K902" s="14">
        <f t="shared" si="14"/>
        <v>280000</v>
      </c>
    </row>
    <row r="903" spans="1:11">
      <c r="A903" t="s">
        <v>986</v>
      </c>
      <c r="B903" s="2">
        <v>45089</v>
      </c>
      <c r="C903" t="s">
        <v>173</v>
      </c>
      <c r="D903" t="s">
        <v>39</v>
      </c>
      <c r="E903" t="s">
        <v>40</v>
      </c>
      <c r="F903" t="s">
        <v>68</v>
      </c>
      <c r="G903">
        <v>3</v>
      </c>
      <c r="H903">
        <v>320000</v>
      </c>
      <c r="I903">
        <v>0</v>
      </c>
      <c r="J903" t="s">
        <v>16</v>
      </c>
      <c r="K903" s="14">
        <f t="shared" si="14"/>
        <v>960000</v>
      </c>
    </row>
    <row r="904" spans="1:11">
      <c r="A904" t="s">
        <v>987</v>
      </c>
      <c r="B904" s="2">
        <v>45031</v>
      </c>
      <c r="C904" t="s">
        <v>15</v>
      </c>
      <c r="D904" t="s">
        <v>10</v>
      </c>
      <c r="E904" t="s">
        <v>11</v>
      </c>
      <c r="F904" t="s">
        <v>68</v>
      </c>
      <c r="G904">
        <v>1</v>
      </c>
      <c r="H904">
        <v>420000</v>
      </c>
      <c r="I904">
        <v>0</v>
      </c>
      <c r="J904" t="s">
        <v>21</v>
      </c>
      <c r="K904" s="14">
        <f t="shared" si="14"/>
        <v>420000</v>
      </c>
    </row>
    <row r="905" spans="1:11">
      <c r="A905" t="s">
        <v>988</v>
      </c>
      <c r="B905" s="2">
        <v>44946</v>
      </c>
      <c r="C905" t="s">
        <v>173</v>
      </c>
      <c r="D905" t="s">
        <v>39</v>
      </c>
      <c r="E905" t="s">
        <v>40</v>
      </c>
      <c r="F905" t="s">
        <v>68</v>
      </c>
      <c r="G905">
        <v>1</v>
      </c>
      <c r="H905">
        <v>320000</v>
      </c>
      <c r="I905">
        <v>0</v>
      </c>
      <c r="J905" t="s">
        <v>16</v>
      </c>
      <c r="K905" s="14">
        <f t="shared" si="14"/>
        <v>320000</v>
      </c>
    </row>
    <row r="906" spans="1:11">
      <c r="A906" t="s">
        <v>989</v>
      </c>
      <c r="B906" s="2">
        <v>45223</v>
      </c>
      <c r="C906" t="s">
        <v>43</v>
      </c>
      <c r="D906" t="s">
        <v>44</v>
      </c>
      <c r="E906" t="s">
        <v>29</v>
      </c>
      <c r="F906" t="s">
        <v>68</v>
      </c>
      <c r="G906">
        <v>4</v>
      </c>
      <c r="H906">
        <v>235000</v>
      </c>
      <c r="I906">
        <v>10</v>
      </c>
      <c r="J906" t="s">
        <v>21</v>
      </c>
      <c r="K906" s="14">
        <f t="shared" si="14"/>
        <v>846000</v>
      </c>
    </row>
    <row r="907" spans="1:11">
      <c r="A907" t="s">
        <v>990</v>
      </c>
      <c r="B907" s="2">
        <v>45069</v>
      </c>
      <c r="C907" t="s">
        <v>43</v>
      </c>
      <c r="D907" t="s">
        <v>44</v>
      </c>
      <c r="E907" t="s">
        <v>29</v>
      </c>
      <c r="F907" t="s">
        <v>68</v>
      </c>
      <c r="G907">
        <v>1</v>
      </c>
      <c r="H907">
        <v>235000</v>
      </c>
      <c r="I907">
        <v>0</v>
      </c>
      <c r="J907" t="s">
        <v>16</v>
      </c>
      <c r="K907" s="14">
        <f t="shared" si="14"/>
        <v>235000</v>
      </c>
    </row>
    <row r="908" spans="1:11">
      <c r="A908" t="s">
        <v>991</v>
      </c>
      <c r="B908" s="2">
        <v>45089</v>
      </c>
      <c r="C908" t="s">
        <v>184</v>
      </c>
      <c r="D908" t="s">
        <v>110</v>
      </c>
      <c r="E908" t="s">
        <v>66</v>
      </c>
      <c r="F908" t="s">
        <v>12</v>
      </c>
      <c r="G908">
        <v>3</v>
      </c>
      <c r="H908">
        <v>335000</v>
      </c>
      <c r="I908">
        <v>0</v>
      </c>
      <c r="J908" t="s">
        <v>21</v>
      </c>
      <c r="K908" s="14">
        <f t="shared" si="14"/>
        <v>1005000</v>
      </c>
    </row>
    <row r="909" spans="1:11">
      <c r="A909" t="s">
        <v>992</v>
      </c>
      <c r="B909" s="2">
        <v>45001</v>
      </c>
      <c r="C909" t="s">
        <v>75</v>
      </c>
      <c r="D909" t="s">
        <v>32</v>
      </c>
      <c r="E909" t="s">
        <v>29</v>
      </c>
      <c r="F909" t="s">
        <v>12</v>
      </c>
      <c r="G909">
        <v>2</v>
      </c>
      <c r="H909">
        <v>215000</v>
      </c>
      <c r="I909">
        <v>10</v>
      </c>
      <c r="J909" t="s">
        <v>16</v>
      </c>
      <c r="K909" s="14">
        <f t="shared" si="14"/>
        <v>387000</v>
      </c>
    </row>
    <row r="910" spans="1:11">
      <c r="A910" t="s">
        <v>993</v>
      </c>
      <c r="B910" s="2">
        <v>45198</v>
      </c>
      <c r="C910" t="s">
        <v>153</v>
      </c>
      <c r="D910" t="s">
        <v>83</v>
      </c>
      <c r="E910" t="s">
        <v>84</v>
      </c>
      <c r="F910" t="s">
        <v>1268</v>
      </c>
      <c r="G910">
        <v>1</v>
      </c>
      <c r="H910">
        <v>395000</v>
      </c>
      <c r="I910">
        <v>0</v>
      </c>
      <c r="J910" t="s">
        <v>16</v>
      </c>
      <c r="K910" s="14">
        <f t="shared" si="14"/>
        <v>395000</v>
      </c>
    </row>
    <row r="911" spans="1:11">
      <c r="A911" t="s">
        <v>994</v>
      </c>
      <c r="B911" s="2">
        <v>45213</v>
      </c>
      <c r="C911" t="s">
        <v>242</v>
      </c>
      <c r="D911" t="s">
        <v>97</v>
      </c>
      <c r="E911" t="s">
        <v>98</v>
      </c>
      <c r="F911" t="s">
        <v>1268</v>
      </c>
      <c r="G911">
        <v>4</v>
      </c>
      <c r="H911">
        <v>170000</v>
      </c>
      <c r="I911">
        <v>0</v>
      </c>
      <c r="J911" t="s">
        <v>16</v>
      </c>
      <c r="K911" s="14">
        <f t="shared" si="14"/>
        <v>680000</v>
      </c>
    </row>
    <row r="912" spans="1:11">
      <c r="A912" t="s">
        <v>995</v>
      </c>
      <c r="B912" s="2">
        <v>45226</v>
      </c>
      <c r="C912" t="s">
        <v>147</v>
      </c>
      <c r="D912" t="s">
        <v>148</v>
      </c>
      <c r="E912" t="s">
        <v>66</v>
      </c>
      <c r="F912" t="s">
        <v>12</v>
      </c>
      <c r="G912">
        <v>1</v>
      </c>
      <c r="H912">
        <v>305000</v>
      </c>
      <c r="I912">
        <v>0</v>
      </c>
      <c r="J912" t="s">
        <v>47</v>
      </c>
      <c r="K912" s="14">
        <f t="shared" si="14"/>
        <v>305000</v>
      </c>
    </row>
    <row r="913" spans="1:11">
      <c r="A913" t="s">
        <v>996</v>
      </c>
      <c r="B913" s="2">
        <v>45213</v>
      </c>
      <c r="C913" t="s">
        <v>38</v>
      </c>
      <c r="D913" t="s">
        <v>39</v>
      </c>
      <c r="E913" t="s">
        <v>40</v>
      </c>
      <c r="F913" t="s">
        <v>12</v>
      </c>
      <c r="G913">
        <v>1</v>
      </c>
      <c r="H913">
        <v>320000</v>
      </c>
      <c r="I913">
        <v>10</v>
      </c>
      <c r="J913" t="s">
        <v>21</v>
      </c>
      <c r="K913" s="14">
        <f t="shared" si="14"/>
        <v>288000</v>
      </c>
    </row>
    <row r="914" spans="1:11">
      <c r="A914" t="s">
        <v>997</v>
      </c>
      <c r="B914" s="2">
        <v>45070</v>
      </c>
      <c r="C914" t="s">
        <v>131</v>
      </c>
      <c r="D914" t="s">
        <v>132</v>
      </c>
      <c r="E914" t="s">
        <v>20</v>
      </c>
      <c r="F914" t="s">
        <v>12</v>
      </c>
      <c r="G914">
        <v>1</v>
      </c>
      <c r="H914">
        <v>280000</v>
      </c>
      <c r="I914">
        <v>10</v>
      </c>
      <c r="J914" t="s">
        <v>16</v>
      </c>
      <c r="K914" s="14">
        <f t="shared" si="14"/>
        <v>252000</v>
      </c>
    </row>
    <row r="915" spans="1:11">
      <c r="A915" t="s">
        <v>998</v>
      </c>
      <c r="B915" s="2">
        <v>44989</v>
      </c>
      <c r="C915" t="s">
        <v>250</v>
      </c>
      <c r="D915" t="s">
        <v>53</v>
      </c>
      <c r="E915" t="s">
        <v>36</v>
      </c>
      <c r="F915" t="s">
        <v>62</v>
      </c>
      <c r="G915">
        <v>4</v>
      </c>
      <c r="H915">
        <v>195000</v>
      </c>
      <c r="I915">
        <v>10</v>
      </c>
      <c r="J915" t="s">
        <v>16</v>
      </c>
      <c r="K915" s="14">
        <f t="shared" si="14"/>
        <v>702000</v>
      </c>
    </row>
    <row r="916" spans="1:11">
      <c r="A916" t="s">
        <v>999</v>
      </c>
      <c r="B916" s="2">
        <v>45246</v>
      </c>
      <c r="C916" t="s">
        <v>242</v>
      </c>
      <c r="D916" t="s">
        <v>97</v>
      </c>
      <c r="E916" t="s">
        <v>98</v>
      </c>
      <c r="F916" t="s">
        <v>62</v>
      </c>
      <c r="G916">
        <v>2</v>
      </c>
      <c r="H916">
        <v>170000</v>
      </c>
      <c r="I916">
        <v>10</v>
      </c>
      <c r="J916" t="s">
        <v>21</v>
      </c>
      <c r="K916" s="14">
        <f t="shared" si="14"/>
        <v>306000</v>
      </c>
    </row>
    <row r="917" spans="1:11">
      <c r="A917" t="s">
        <v>1000</v>
      </c>
      <c r="B917" s="2">
        <v>45116</v>
      </c>
      <c r="C917" t="s">
        <v>96</v>
      </c>
      <c r="D917" t="s">
        <v>97</v>
      </c>
      <c r="E917" t="s">
        <v>98</v>
      </c>
      <c r="F917" t="s">
        <v>12</v>
      </c>
      <c r="G917">
        <v>1</v>
      </c>
      <c r="H917">
        <v>170000</v>
      </c>
      <c r="I917">
        <v>0</v>
      </c>
      <c r="J917" t="s">
        <v>21</v>
      </c>
      <c r="K917" s="14">
        <f t="shared" si="14"/>
        <v>170000</v>
      </c>
    </row>
    <row r="918" spans="1:11">
      <c r="A918" t="s">
        <v>1001</v>
      </c>
      <c r="B918" s="2">
        <v>45115</v>
      </c>
      <c r="C918" t="s">
        <v>31</v>
      </c>
      <c r="D918" t="s">
        <v>32</v>
      </c>
      <c r="E918" t="s">
        <v>29</v>
      </c>
      <c r="F918" t="s">
        <v>68</v>
      </c>
      <c r="G918">
        <v>2</v>
      </c>
      <c r="H918">
        <v>215000</v>
      </c>
      <c r="I918">
        <v>0</v>
      </c>
      <c r="J918" t="s">
        <v>16</v>
      </c>
      <c r="K918" s="14">
        <f t="shared" si="14"/>
        <v>430000</v>
      </c>
    </row>
    <row r="919" spans="1:11">
      <c r="A919" t="s">
        <v>1002</v>
      </c>
      <c r="B919" s="2">
        <v>45003</v>
      </c>
      <c r="C919" t="s">
        <v>153</v>
      </c>
      <c r="D919" t="s">
        <v>83</v>
      </c>
      <c r="E919" t="s">
        <v>84</v>
      </c>
      <c r="F919" t="s">
        <v>1268</v>
      </c>
      <c r="G919">
        <v>1</v>
      </c>
      <c r="H919">
        <v>395000</v>
      </c>
      <c r="I919">
        <v>15</v>
      </c>
      <c r="J919" t="s">
        <v>16</v>
      </c>
      <c r="K919" s="14">
        <f t="shared" si="14"/>
        <v>335750</v>
      </c>
    </row>
    <row r="920" spans="1:11">
      <c r="A920" t="s">
        <v>1003</v>
      </c>
      <c r="B920" s="2">
        <v>45285</v>
      </c>
      <c r="C920" t="s">
        <v>46</v>
      </c>
      <c r="D920" t="s">
        <v>44</v>
      </c>
      <c r="E920" t="s">
        <v>1290</v>
      </c>
      <c r="F920" t="s">
        <v>12</v>
      </c>
      <c r="G920">
        <v>2</v>
      </c>
      <c r="H920">
        <v>235000</v>
      </c>
      <c r="I920">
        <v>0</v>
      </c>
      <c r="J920" t="s">
        <v>41</v>
      </c>
      <c r="K920" s="14">
        <f t="shared" si="14"/>
        <v>470000</v>
      </c>
    </row>
    <row r="921" spans="1:11">
      <c r="A921" t="s">
        <v>1004</v>
      </c>
      <c r="B921" s="2">
        <v>44987</v>
      </c>
      <c r="C921" t="s">
        <v>43</v>
      </c>
      <c r="D921" t="s">
        <v>44</v>
      </c>
      <c r="E921" t="s">
        <v>29</v>
      </c>
      <c r="F921" t="s">
        <v>1268</v>
      </c>
      <c r="G921">
        <v>1</v>
      </c>
      <c r="H921">
        <v>235000</v>
      </c>
      <c r="I921">
        <v>0</v>
      </c>
      <c r="J921" t="s">
        <v>71</v>
      </c>
      <c r="K921" s="14">
        <f t="shared" si="14"/>
        <v>235000</v>
      </c>
    </row>
    <row r="922" spans="1:11">
      <c r="A922" t="s">
        <v>1005</v>
      </c>
      <c r="B922" s="2">
        <v>45243</v>
      </c>
      <c r="C922" t="s">
        <v>15</v>
      </c>
      <c r="D922" t="s">
        <v>10</v>
      </c>
      <c r="E922" t="s">
        <v>11</v>
      </c>
      <c r="F922" t="s">
        <v>68</v>
      </c>
      <c r="G922">
        <v>2</v>
      </c>
      <c r="H922">
        <v>420000</v>
      </c>
      <c r="I922">
        <v>10</v>
      </c>
      <c r="J922" t="s">
        <v>13</v>
      </c>
      <c r="K922" s="14">
        <f t="shared" si="14"/>
        <v>756000</v>
      </c>
    </row>
    <row r="923" spans="1:11">
      <c r="A923" t="s">
        <v>1006</v>
      </c>
      <c r="B923" s="2">
        <v>45180</v>
      </c>
      <c r="C923" t="s">
        <v>215</v>
      </c>
      <c r="D923" t="s">
        <v>10</v>
      </c>
      <c r="E923" t="s">
        <v>11</v>
      </c>
      <c r="F923" t="s">
        <v>12</v>
      </c>
      <c r="G923">
        <v>1</v>
      </c>
      <c r="H923">
        <v>420000</v>
      </c>
      <c r="I923">
        <v>15</v>
      </c>
      <c r="J923" t="s">
        <v>16</v>
      </c>
      <c r="K923" s="14">
        <f t="shared" si="14"/>
        <v>357000</v>
      </c>
    </row>
    <row r="924" spans="1:11">
      <c r="A924" t="s">
        <v>1007</v>
      </c>
      <c r="B924" s="2">
        <v>44964</v>
      </c>
      <c r="C924" t="s">
        <v>34</v>
      </c>
      <c r="D924" t="s">
        <v>35</v>
      </c>
      <c r="E924" t="s">
        <v>36</v>
      </c>
      <c r="F924" t="s">
        <v>12</v>
      </c>
      <c r="G924">
        <v>5</v>
      </c>
      <c r="H924">
        <v>198000</v>
      </c>
      <c r="I924">
        <v>0</v>
      </c>
      <c r="J924" t="s">
        <v>16</v>
      </c>
      <c r="K924" s="14">
        <f t="shared" si="14"/>
        <v>990000</v>
      </c>
    </row>
    <row r="925" spans="1:11">
      <c r="A925" t="s">
        <v>1008</v>
      </c>
      <c r="B925" s="2">
        <v>45008</v>
      </c>
      <c r="C925" t="s">
        <v>46</v>
      </c>
      <c r="D925" t="s">
        <v>44</v>
      </c>
      <c r="E925" t="s">
        <v>1290</v>
      </c>
      <c r="F925" t="s">
        <v>12</v>
      </c>
      <c r="G925">
        <v>1</v>
      </c>
      <c r="H925">
        <v>235000</v>
      </c>
      <c r="I925">
        <v>5</v>
      </c>
      <c r="J925" t="s">
        <v>16</v>
      </c>
      <c r="K925" s="14">
        <f t="shared" si="14"/>
        <v>223250</v>
      </c>
    </row>
    <row r="926" spans="1:11">
      <c r="A926" t="s">
        <v>1009</v>
      </c>
      <c r="B926" s="2">
        <v>45117</v>
      </c>
      <c r="C926" t="s">
        <v>215</v>
      </c>
      <c r="D926" t="s">
        <v>10</v>
      </c>
      <c r="E926" t="s">
        <v>11</v>
      </c>
      <c r="F926" t="s">
        <v>12</v>
      </c>
      <c r="G926">
        <v>1</v>
      </c>
      <c r="H926">
        <v>420000</v>
      </c>
      <c r="I926">
        <v>15</v>
      </c>
      <c r="J926" t="s">
        <v>16</v>
      </c>
      <c r="K926" s="14">
        <f t="shared" si="14"/>
        <v>357000</v>
      </c>
    </row>
    <row r="927" spans="1:11">
      <c r="A927" t="s">
        <v>1010</v>
      </c>
      <c r="B927" s="2">
        <v>45121</v>
      </c>
      <c r="C927" t="s">
        <v>49</v>
      </c>
      <c r="D927" t="s">
        <v>50</v>
      </c>
      <c r="E927" t="s">
        <v>29</v>
      </c>
      <c r="F927" t="s">
        <v>62</v>
      </c>
      <c r="G927">
        <v>2</v>
      </c>
      <c r="H927">
        <v>220000</v>
      </c>
      <c r="I927">
        <v>0</v>
      </c>
      <c r="J927" t="s">
        <v>16</v>
      </c>
      <c r="K927" s="14">
        <f t="shared" si="14"/>
        <v>440000</v>
      </c>
    </row>
    <row r="928" spans="1:11">
      <c r="A928" t="s">
        <v>1011</v>
      </c>
      <c r="B928" s="2">
        <v>45174</v>
      </c>
      <c r="C928" t="s">
        <v>64</v>
      </c>
      <c r="D928" t="s">
        <v>65</v>
      </c>
      <c r="E928" t="s">
        <v>66</v>
      </c>
      <c r="F928" t="s">
        <v>62</v>
      </c>
      <c r="G928">
        <v>2</v>
      </c>
      <c r="H928">
        <v>295000</v>
      </c>
      <c r="I928">
        <v>0</v>
      </c>
      <c r="J928" t="s">
        <v>71</v>
      </c>
      <c r="K928" s="14">
        <f t="shared" si="14"/>
        <v>590000</v>
      </c>
    </row>
    <row r="929" spans="1:11">
      <c r="A929" t="s">
        <v>1012</v>
      </c>
      <c r="B929" s="2">
        <v>45204</v>
      </c>
      <c r="C929" t="s">
        <v>153</v>
      </c>
      <c r="D929" t="s">
        <v>83</v>
      </c>
      <c r="E929" t="s">
        <v>84</v>
      </c>
      <c r="F929" t="s">
        <v>12</v>
      </c>
      <c r="G929">
        <v>3</v>
      </c>
      <c r="H929">
        <v>395000</v>
      </c>
      <c r="I929">
        <v>10</v>
      </c>
      <c r="J929" t="s">
        <v>16</v>
      </c>
      <c r="K929" s="14">
        <f t="shared" si="14"/>
        <v>1066500</v>
      </c>
    </row>
    <row r="930" spans="1:11">
      <c r="A930" t="s">
        <v>1013</v>
      </c>
      <c r="B930" s="2">
        <v>45259</v>
      </c>
      <c r="C930" t="s">
        <v>162</v>
      </c>
      <c r="D930" t="s">
        <v>56</v>
      </c>
      <c r="E930" t="s">
        <v>57</v>
      </c>
      <c r="F930" t="s">
        <v>68</v>
      </c>
      <c r="G930">
        <v>1</v>
      </c>
      <c r="H930">
        <v>105000</v>
      </c>
      <c r="I930">
        <v>0</v>
      </c>
      <c r="J930" t="s">
        <v>16</v>
      </c>
      <c r="K930" s="14">
        <f t="shared" si="14"/>
        <v>105000</v>
      </c>
    </row>
    <row r="931" spans="1:11">
      <c r="A931" t="s">
        <v>1014</v>
      </c>
      <c r="B931" s="2">
        <v>44931</v>
      </c>
      <c r="C931" t="s">
        <v>139</v>
      </c>
      <c r="D931" t="s">
        <v>61</v>
      </c>
      <c r="E931" t="s">
        <v>20</v>
      </c>
      <c r="F931" t="s">
        <v>12</v>
      </c>
      <c r="G931">
        <v>-1</v>
      </c>
      <c r="H931">
        <v>260000</v>
      </c>
      <c r="I931">
        <v>0</v>
      </c>
      <c r="J931" t="s">
        <v>21</v>
      </c>
      <c r="K931" s="14">
        <f t="shared" si="14"/>
        <v>-260000</v>
      </c>
    </row>
    <row r="932" spans="1:11">
      <c r="A932" t="s">
        <v>1015</v>
      </c>
      <c r="B932" s="2">
        <v>45172</v>
      </c>
      <c r="C932" t="s">
        <v>108</v>
      </c>
      <c r="D932" t="s">
        <v>56</v>
      </c>
      <c r="E932" t="s">
        <v>57</v>
      </c>
      <c r="F932" t="s">
        <v>12</v>
      </c>
      <c r="G932">
        <v>3</v>
      </c>
      <c r="H932">
        <v>105000</v>
      </c>
      <c r="I932">
        <v>0</v>
      </c>
      <c r="J932" t="s">
        <v>16</v>
      </c>
      <c r="K932" s="14">
        <f t="shared" si="14"/>
        <v>315000</v>
      </c>
    </row>
    <row r="933" spans="1:11">
      <c r="A933" t="s">
        <v>1016</v>
      </c>
      <c r="B933" s="2">
        <v>44988</v>
      </c>
      <c r="C933" t="s">
        <v>43</v>
      </c>
      <c r="D933" t="s">
        <v>44</v>
      </c>
      <c r="E933" t="s">
        <v>29</v>
      </c>
      <c r="F933" t="s">
        <v>68</v>
      </c>
      <c r="G933">
        <v>2</v>
      </c>
      <c r="H933">
        <v>235000</v>
      </c>
      <c r="I933">
        <v>5</v>
      </c>
      <c r="J933" t="s">
        <v>21</v>
      </c>
      <c r="K933" s="14">
        <f t="shared" si="14"/>
        <v>446500</v>
      </c>
    </row>
    <row r="934" spans="1:11">
      <c r="A934" t="s">
        <v>1017</v>
      </c>
      <c r="B934" s="2">
        <v>45010</v>
      </c>
      <c r="C934" t="s">
        <v>64</v>
      </c>
      <c r="D934" t="s">
        <v>65</v>
      </c>
      <c r="E934" t="s">
        <v>66</v>
      </c>
      <c r="F934" t="s">
        <v>62</v>
      </c>
      <c r="G934">
        <v>1</v>
      </c>
      <c r="H934">
        <v>295000</v>
      </c>
      <c r="I934">
        <v>0</v>
      </c>
      <c r="J934" t="s">
        <v>1268</v>
      </c>
      <c r="K934" s="14">
        <f t="shared" si="14"/>
        <v>295000</v>
      </c>
    </row>
    <row r="935" spans="1:11">
      <c r="A935" t="s">
        <v>1018</v>
      </c>
      <c r="B935" s="2">
        <v>45008</v>
      </c>
      <c r="C935" t="s">
        <v>38</v>
      </c>
      <c r="D935" t="s">
        <v>39</v>
      </c>
      <c r="E935" t="s">
        <v>40</v>
      </c>
      <c r="F935" t="s">
        <v>12</v>
      </c>
      <c r="G935">
        <v>2</v>
      </c>
      <c r="H935">
        <v>320000</v>
      </c>
      <c r="I935">
        <v>0</v>
      </c>
      <c r="J935" t="s">
        <v>71</v>
      </c>
      <c r="K935" s="14">
        <f t="shared" si="14"/>
        <v>640000</v>
      </c>
    </row>
    <row r="936" spans="1:11">
      <c r="A936" t="s">
        <v>1019</v>
      </c>
      <c r="B936" s="2">
        <v>45031</v>
      </c>
      <c r="C936" t="s">
        <v>173</v>
      </c>
      <c r="D936" t="s">
        <v>39</v>
      </c>
      <c r="E936" t="s">
        <v>40</v>
      </c>
      <c r="F936" t="s">
        <v>68</v>
      </c>
      <c r="G936">
        <v>4</v>
      </c>
      <c r="H936">
        <v>320000</v>
      </c>
      <c r="I936">
        <v>0</v>
      </c>
      <c r="J936" t="s">
        <v>41</v>
      </c>
      <c r="K936" s="14">
        <f t="shared" si="14"/>
        <v>1280000</v>
      </c>
    </row>
    <row r="937" spans="1:11">
      <c r="A937" t="s">
        <v>1020</v>
      </c>
      <c r="B937" s="2">
        <v>44963</v>
      </c>
      <c r="C937" t="s">
        <v>94</v>
      </c>
      <c r="D937" t="s">
        <v>50</v>
      </c>
      <c r="E937" t="s">
        <v>29</v>
      </c>
      <c r="F937" t="s">
        <v>68</v>
      </c>
      <c r="G937">
        <v>1</v>
      </c>
      <c r="H937">
        <v>220000</v>
      </c>
      <c r="I937">
        <v>15</v>
      </c>
      <c r="J937" t="s">
        <v>41</v>
      </c>
      <c r="K937" s="14">
        <f t="shared" si="14"/>
        <v>187000</v>
      </c>
    </row>
    <row r="938" spans="1:11">
      <c r="A938" t="s">
        <v>1021</v>
      </c>
      <c r="B938" s="2">
        <v>45204</v>
      </c>
      <c r="C938" t="s">
        <v>144</v>
      </c>
      <c r="D938" t="s">
        <v>142</v>
      </c>
      <c r="E938" t="s">
        <v>66</v>
      </c>
      <c r="F938" t="s">
        <v>12</v>
      </c>
      <c r="G938">
        <v>1</v>
      </c>
      <c r="H938">
        <v>330000</v>
      </c>
      <c r="I938">
        <v>0</v>
      </c>
      <c r="J938" t="s">
        <v>41</v>
      </c>
      <c r="K938" s="14">
        <f t="shared" si="14"/>
        <v>330000</v>
      </c>
    </row>
    <row r="939" spans="1:11">
      <c r="A939" t="s">
        <v>1022</v>
      </c>
      <c r="B939" s="2">
        <v>45041</v>
      </c>
      <c r="C939" t="s">
        <v>133</v>
      </c>
      <c r="D939" t="s">
        <v>102</v>
      </c>
      <c r="E939" t="s">
        <v>11</v>
      </c>
      <c r="F939" t="s">
        <v>62</v>
      </c>
      <c r="G939">
        <v>1</v>
      </c>
      <c r="H939">
        <v>430000</v>
      </c>
      <c r="I939">
        <v>0</v>
      </c>
      <c r="J939" t="s">
        <v>21</v>
      </c>
      <c r="K939" s="14">
        <f t="shared" si="14"/>
        <v>430000</v>
      </c>
    </row>
    <row r="940" spans="1:11">
      <c r="A940" t="s">
        <v>1023</v>
      </c>
      <c r="B940" s="2">
        <v>45088</v>
      </c>
      <c r="C940" t="s">
        <v>133</v>
      </c>
      <c r="D940" t="s">
        <v>102</v>
      </c>
      <c r="E940" t="s">
        <v>11</v>
      </c>
      <c r="F940" t="s">
        <v>62</v>
      </c>
      <c r="G940">
        <v>1</v>
      </c>
      <c r="H940">
        <v>430000</v>
      </c>
      <c r="I940">
        <v>5</v>
      </c>
      <c r="J940" t="s">
        <v>71</v>
      </c>
      <c r="K940" s="14">
        <f t="shared" si="14"/>
        <v>408500</v>
      </c>
    </row>
    <row r="941" spans="1:11">
      <c r="A941" t="s">
        <v>1024</v>
      </c>
      <c r="B941" s="2">
        <v>44997</v>
      </c>
      <c r="C941" t="s">
        <v>131</v>
      </c>
      <c r="D941" t="s">
        <v>132</v>
      </c>
      <c r="E941" t="s">
        <v>20</v>
      </c>
      <c r="F941" t="s">
        <v>12</v>
      </c>
      <c r="G941">
        <v>1</v>
      </c>
      <c r="H941">
        <v>280000</v>
      </c>
      <c r="I941">
        <v>0</v>
      </c>
      <c r="J941" t="s">
        <v>71</v>
      </c>
      <c r="K941" s="14">
        <f t="shared" ref="K941:K1002" si="15">G941*H941*(1-I941/100)</f>
        <v>280000</v>
      </c>
    </row>
    <row r="942" spans="1:11">
      <c r="A942" t="s">
        <v>1025</v>
      </c>
      <c r="B942" s="2">
        <v>44948</v>
      </c>
      <c r="C942" t="s">
        <v>133</v>
      </c>
      <c r="D942" t="s">
        <v>102</v>
      </c>
      <c r="E942" t="s">
        <v>11</v>
      </c>
      <c r="F942" t="s">
        <v>62</v>
      </c>
      <c r="G942">
        <v>3</v>
      </c>
      <c r="H942">
        <v>430000</v>
      </c>
      <c r="I942">
        <v>0</v>
      </c>
      <c r="J942" t="s">
        <v>21</v>
      </c>
      <c r="K942" s="14">
        <f t="shared" si="15"/>
        <v>1290000</v>
      </c>
    </row>
    <row r="943" spans="1:11">
      <c r="A943" t="s">
        <v>1026</v>
      </c>
      <c r="B943" s="2">
        <v>45262</v>
      </c>
      <c r="C943" t="s">
        <v>96</v>
      </c>
      <c r="D943" t="s">
        <v>97</v>
      </c>
      <c r="E943" t="s">
        <v>98</v>
      </c>
      <c r="F943" t="s">
        <v>12</v>
      </c>
      <c r="G943">
        <v>1</v>
      </c>
      <c r="H943">
        <v>170000</v>
      </c>
      <c r="I943">
        <v>0</v>
      </c>
      <c r="J943" t="s">
        <v>21</v>
      </c>
      <c r="K943" s="14">
        <f t="shared" si="15"/>
        <v>170000</v>
      </c>
    </row>
    <row r="944" spans="1:11">
      <c r="A944" t="s">
        <v>1027</v>
      </c>
      <c r="B944" s="2">
        <v>45088</v>
      </c>
      <c r="C944" t="s">
        <v>119</v>
      </c>
      <c r="D944" t="s">
        <v>120</v>
      </c>
      <c r="E944" t="s">
        <v>11</v>
      </c>
      <c r="F944" t="s">
        <v>68</v>
      </c>
      <c r="G944">
        <v>1</v>
      </c>
      <c r="H944">
        <v>440000</v>
      </c>
      <c r="I944">
        <v>0</v>
      </c>
      <c r="J944" t="s">
        <v>21</v>
      </c>
      <c r="K944" s="14">
        <f t="shared" si="15"/>
        <v>440000</v>
      </c>
    </row>
    <row r="945" spans="1:11">
      <c r="A945" t="s">
        <v>1028</v>
      </c>
      <c r="B945" s="2">
        <v>45010</v>
      </c>
      <c r="C945" t="s">
        <v>144</v>
      </c>
      <c r="D945" t="s">
        <v>142</v>
      </c>
      <c r="E945" t="s">
        <v>66</v>
      </c>
      <c r="F945" t="s">
        <v>12</v>
      </c>
      <c r="G945">
        <v>3</v>
      </c>
      <c r="H945">
        <v>330000</v>
      </c>
      <c r="I945">
        <v>0</v>
      </c>
      <c r="J945" t="s">
        <v>21</v>
      </c>
      <c r="K945" s="14">
        <f t="shared" si="15"/>
        <v>990000</v>
      </c>
    </row>
    <row r="946" spans="1:11">
      <c r="A946" t="s">
        <v>1029</v>
      </c>
      <c r="B946" s="2">
        <v>45001</v>
      </c>
      <c r="C946" t="s">
        <v>133</v>
      </c>
      <c r="D946" t="s">
        <v>102</v>
      </c>
      <c r="E946" t="s">
        <v>11</v>
      </c>
      <c r="F946" t="s">
        <v>62</v>
      </c>
      <c r="G946">
        <v>1</v>
      </c>
      <c r="H946">
        <v>430000</v>
      </c>
      <c r="I946">
        <v>0</v>
      </c>
      <c r="J946" t="s">
        <v>21</v>
      </c>
      <c r="K946" s="14">
        <f t="shared" si="15"/>
        <v>430000</v>
      </c>
    </row>
    <row r="947" spans="1:11">
      <c r="A947" t="s">
        <v>1030</v>
      </c>
      <c r="B947" s="2">
        <v>45023</v>
      </c>
      <c r="C947" t="s">
        <v>90</v>
      </c>
      <c r="D947" t="s">
        <v>91</v>
      </c>
      <c r="E947" t="s">
        <v>11</v>
      </c>
      <c r="F947" t="s">
        <v>12</v>
      </c>
      <c r="G947">
        <v>1</v>
      </c>
      <c r="H947">
        <v>425000</v>
      </c>
      <c r="I947">
        <v>0</v>
      </c>
      <c r="J947" t="s">
        <v>16</v>
      </c>
      <c r="K947" s="14">
        <f t="shared" si="15"/>
        <v>425000</v>
      </c>
    </row>
    <row r="948" spans="1:11">
      <c r="A948" t="s">
        <v>1031</v>
      </c>
      <c r="B948" s="2">
        <v>45128</v>
      </c>
      <c r="C948" t="s">
        <v>184</v>
      </c>
      <c r="D948" t="s">
        <v>110</v>
      </c>
      <c r="E948" t="s">
        <v>66</v>
      </c>
      <c r="F948" t="s">
        <v>12</v>
      </c>
      <c r="G948">
        <v>5</v>
      </c>
      <c r="H948">
        <v>335000</v>
      </c>
      <c r="I948">
        <v>0</v>
      </c>
      <c r="J948" t="s">
        <v>16</v>
      </c>
      <c r="K948" s="14">
        <f t="shared" si="15"/>
        <v>1675000</v>
      </c>
    </row>
    <row r="949" spans="1:11">
      <c r="A949" t="s">
        <v>1032</v>
      </c>
      <c r="B949" s="2">
        <v>45256</v>
      </c>
      <c r="C949" t="s">
        <v>119</v>
      </c>
      <c r="D949" t="s">
        <v>120</v>
      </c>
      <c r="E949" t="s">
        <v>11</v>
      </c>
      <c r="F949" t="s">
        <v>68</v>
      </c>
      <c r="G949">
        <v>5</v>
      </c>
      <c r="H949">
        <v>440000</v>
      </c>
      <c r="I949">
        <v>0</v>
      </c>
      <c r="J949" t="s">
        <v>21</v>
      </c>
      <c r="K949" s="14">
        <f t="shared" si="15"/>
        <v>2200000</v>
      </c>
    </row>
    <row r="950" spans="1:11">
      <c r="A950" t="s">
        <v>1033</v>
      </c>
      <c r="B950" s="2">
        <v>45208</v>
      </c>
      <c r="C950" t="s">
        <v>162</v>
      </c>
      <c r="D950" t="s">
        <v>56</v>
      </c>
      <c r="E950" t="s">
        <v>57</v>
      </c>
      <c r="F950" t="s">
        <v>68</v>
      </c>
      <c r="G950">
        <v>1</v>
      </c>
      <c r="H950">
        <v>105000</v>
      </c>
      <c r="I950">
        <v>0</v>
      </c>
      <c r="J950" t="s">
        <v>71</v>
      </c>
      <c r="K950" s="14">
        <f t="shared" si="15"/>
        <v>105000</v>
      </c>
    </row>
    <row r="951" spans="1:11">
      <c r="A951" t="s">
        <v>1034</v>
      </c>
      <c r="B951" s="2">
        <v>45032</v>
      </c>
      <c r="C951" t="s">
        <v>31</v>
      </c>
      <c r="D951" t="s">
        <v>32</v>
      </c>
      <c r="E951" t="s">
        <v>29</v>
      </c>
      <c r="F951" t="s">
        <v>68</v>
      </c>
      <c r="G951">
        <v>4</v>
      </c>
      <c r="H951">
        <v>215000</v>
      </c>
      <c r="I951">
        <v>0</v>
      </c>
      <c r="J951" t="s">
        <v>21</v>
      </c>
      <c r="K951" s="14">
        <f t="shared" si="15"/>
        <v>860000</v>
      </c>
    </row>
    <row r="952" spans="1:11">
      <c r="A952" t="s">
        <v>1035</v>
      </c>
      <c r="B952" s="2">
        <v>45101</v>
      </c>
      <c r="C952" t="s">
        <v>43</v>
      </c>
      <c r="D952" t="s">
        <v>44</v>
      </c>
      <c r="E952" t="s">
        <v>29</v>
      </c>
      <c r="F952" t="s">
        <v>68</v>
      </c>
      <c r="G952">
        <v>1</v>
      </c>
      <c r="H952">
        <v>235000</v>
      </c>
      <c r="I952">
        <v>0</v>
      </c>
      <c r="J952" t="s">
        <v>16</v>
      </c>
      <c r="K952" s="14">
        <f t="shared" si="15"/>
        <v>235000</v>
      </c>
    </row>
    <row r="953" spans="1:11">
      <c r="A953" t="s">
        <v>1036</v>
      </c>
      <c r="B953" s="2">
        <v>45280</v>
      </c>
      <c r="C953" t="s">
        <v>122</v>
      </c>
      <c r="D953" t="s">
        <v>123</v>
      </c>
      <c r="E953" t="s">
        <v>124</v>
      </c>
      <c r="F953" t="s">
        <v>12</v>
      </c>
      <c r="G953">
        <v>4</v>
      </c>
      <c r="H953">
        <v>228000</v>
      </c>
      <c r="I953">
        <v>10</v>
      </c>
      <c r="J953" t="s">
        <v>16</v>
      </c>
      <c r="K953" s="14">
        <f t="shared" si="15"/>
        <v>820800</v>
      </c>
    </row>
    <row r="954" spans="1:11">
      <c r="A954" t="s">
        <v>1037</v>
      </c>
      <c r="B954" s="2">
        <v>45053</v>
      </c>
      <c r="C954" t="s">
        <v>88</v>
      </c>
      <c r="D954" t="s">
        <v>10</v>
      </c>
      <c r="E954" t="s">
        <v>11</v>
      </c>
      <c r="F954" t="s">
        <v>62</v>
      </c>
      <c r="G954">
        <v>1</v>
      </c>
      <c r="H954">
        <v>420000</v>
      </c>
      <c r="I954">
        <v>0</v>
      </c>
      <c r="J954" t="s">
        <v>21</v>
      </c>
      <c r="K954" s="14">
        <f t="shared" si="15"/>
        <v>420000</v>
      </c>
    </row>
    <row r="955" spans="1:11">
      <c r="A955" t="s">
        <v>1038</v>
      </c>
      <c r="B955" s="2">
        <v>45217</v>
      </c>
      <c r="C955" t="s">
        <v>119</v>
      </c>
      <c r="D955" t="s">
        <v>120</v>
      </c>
      <c r="E955" t="s">
        <v>11</v>
      </c>
      <c r="F955" t="s">
        <v>68</v>
      </c>
      <c r="G955">
        <v>1</v>
      </c>
      <c r="H955">
        <v>440000</v>
      </c>
      <c r="I955">
        <v>5</v>
      </c>
      <c r="J955" t="s">
        <v>41</v>
      </c>
      <c r="K955" s="14">
        <f t="shared" si="15"/>
        <v>418000</v>
      </c>
    </row>
    <row r="956" spans="1:11">
      <c r="A956" t="s">
        <v>1039</v>
      </c>
      <c r="B956" s="2">
        <v>45059</v>
      </c>
      <c r="C956" t="s">
        <v>27</v>
      </c>
      <c r="D956" t="s">
        <v>28</v>
      </c>
      <c r="E956" t="s">
        <v>29</v>
      </c>
      <c r="F956" t="s">
        <v>12</v>
      </c>
      <c r="G956">
        <v>1</v>
      </c>
      <c r="H956">
        <v>210000</v>
      </c>
      <c r="I956">
        <v>0</v>
      </c>
      <c r="J956" t="s">
        <v>71</v>
      </c>
      <c r="K956" s="14">
        <f t="shared" si="15"/>
        <v>210000</v>
      </c>
    </row>
    <row r="957" spans="1:11">
      <c r="A957" t="s">
        <v>1040</v>
      </c>
      <c r="B957" s="2">
        <v>45236</v>
      </c>
      <c r="C957" t="s">
        <v>215</v>
      </c>
      <c r="D957" t="s">
        <v>10</v>
      </c>
      <c r="E957" t="s">
        <v>11</v>
      </c>
      <c r="F957" t="s">
        <v>12</v>
      </c>
      <c r="G957">
        <v>1</v>
      </c>
      <c r="H957">
        <v>420000</v>
      </c>
      <c r="I957">
        <v>0</v>
      </c>
      <c r="J957" t="s">
        <v>21</v>
      </c>
      <c r="K957" s="14">
        <f t="shared" si="15"/>
        <v>420000</v>
      </c>
    </row>
    <row r="958" spans="1:11">
      <c r="A958" t="s">
        <v>1041</v>
      </c>
      <c r="B958" s="2">
        <v>45222</v>
      </c>
      <c r="C958" t="s">
        <v>49</v>
      </c>
      <c r="D958" t="s">
        <v>50</v>
      </c>
      <c r="E958" t="s">
        <v>29</v>
      </c>
      <c r="F958" t="s">
        <v>62</v>
      </c>
      <c r="G958">
        <v>1</v>
      </c>
      <c r="H958">
        <v>220000</v>
      </c>
      <c r="I958">
        <v>0</v>
      </c>
      <c r="J958" t="s">
        <v>16</v>
      </c>
      <c r="K958" s="14">
        <f t="shared" si="15"/>
        <v>220000</v>
      </c>
    </row>
    <row r="959" spans="1:11">
      <c r="A959" t="s">
        <v>1042</v>
      </c>
      <c r="B959" s="2">
        <v>44950</v>
      </c>
      <c r="C959" t="s">
        <v>88</v>
      </c>
      <c r="D959" t="s">
        <v>10</v>
      </c>
      <c r="E959" t="s">
        <v>11</v>
      </c>
      <c r="F959" t="s">
        <v>62</v>
      </c>
      <c r="G959">
        <v>1</v>
      </c>
      <c r="H959">
        <v>420000</v>
      </c>
      <c r="I959">
        <v>20</v>
      </c>
      <c r="J959" t="s">
        <v>16</v>
      </c>
      <c r="K959" s="14">
        <f t="shared" si="15"/>
        <v>336000</v>
      </c>
    </row>
    <row r="960" spans="1:11">
      <c r="A960" t="s">
        <v>1043</v>
      </c>
      <c r="B960" s="2">
        <v>44990</v>
      </c>
      <c r="C960" t="s">
        <v>43</v>
      </c>
      <c r="D960" t="s">
        <v>44</v>
      </c>
      <c r="E960" t="s">
        <v>29</v>
      </c>
      <c r="F960" t="s">
        <v>68</v>
      </c>
      <c r="G960">
        <v>2</v>
      </c>
      <c r="H960">
        <v>235000</v>
      </c>
      <c r="I960">
        <v>10</v>
      </c>
      <c r="J960" t="s">
        <v>71</v>
      </c>
      <c r="K960" s="14">
        <f t="shared" si="15"/>
        <v>423000</v>
      </c>
    </row>
    <row r="961" spans="1:11">
      <c r="A961" t="s">
        <v>1044</v>
      </c>
      <c r="B961" s="2">
        <v>44985</v>
      </c>
      <c r="C961" t="s">
        <v>31</v>
      </c>
      <c r="D961" t="s">
        <v>32</v>
      </c>
      <c r="E961" t="s">
        <v>29</v>
      </c>
      <c r="F961" t="s">
        <v>68</v>
      </c>
      <c r="G961">
        <v>1</v>
      </c>
      <c r="H961">
        <v>215000</v>
      </c>
      <c r="I961">
        <v>0</v>
      </c>
      <c r="J961" t="s">
        <v>41</v>
      </c>
      <c r="K961" s="14">
        <f t="shared" si="15"/>
        <v>215000</v>
      </c>
    </row>
    <row r="962" spans="1:11">
      <c r="A962" t="s">
        <v>1045</v>
      </c>
      <c r="B962" s="2">
        <v>45140</v>
      </c>
      <c r="C962" t="s">
        <v>228</v>
      </c>
      <c r="D962" t="s">
        <v>50</v>
      </c>
      <c r="E962" t="s">
        <v>29</v>
      </c>
      <c r="F962" t="s">
        <v>12</v>
      </c>
      <c r="G962">
        <v>4</v>
      </c>
      <c r="H962">
        <v>220000</v>
      </c>
      <c r="I962">
        <v>0</v>
      </c>
      <c r="J962" t="s">
        <v>21</v>
      </c>
      <c r="K962" s="14">
        <f t="shared" si="15"/>
        <v>880000</v>
      </c>
    </row>
    <row r="963" spans="1:11">
      <c r="A963" t="s">
        <v>1046</v>
      </c>
      <c r="B963" s="2">
        <v>45079</v>
      </c>
      <c r="C963" t="s">
        <v>55</v>
      </c>
      <c r="D963" t="s">
        <v>56</v>
      </c>
      <c r="E963" t="s">
        <v>57</v>
      </c>
      <c r="F963" t="s">
        <v>62</v>
      </c>
      <c r="G963">
        <v>3</v>
      </c>
      <c r="H963">
        <v>105000</v>
      </c>
      <c r="I963">
        <v>15</v>
      </c>
      <c r="J963" t="s">
        <v>16</v>
      </c>
      <c r="K963" s="14">
        <f t="shared" si="15"/>
        <v>267750</v>
      </c>
    </row>
    <row r="964" spans="1:11">
      <c r="A964" t="s">
        <v>1047</v>
      </c>
      <c r="B964" s="2">
        <v>45137</v>
      </c>
      <c r="C964" t="s">
        <v>75</v>
      </c>
      <c r="D964" t="s">
        <v>32</v>
      </c>
      <c r="E964" t="s">
        <v>29</v>
      </c>
      <c r="F964" t="s">
        <v>12</v>
      </c>
      <c r="G964">
        <v>1</v>
      </c>
      <c r="H964">
        <v>215000</v>
      </c>
      <c r="I964">
        <v>10</v>
      </c>
      <c r="J964" t="s">
        <v>16</v>
      </c>
      <c r="K964" s="14">
        <f t="shared" si="15"/>
        <v>193500</v>
      </c>
    </row>
    <row r="965" spans="1:11">
      <c r="A965" t="s">
        <v>296</v>
      </c>
      <c r="B965" s="2">
        <v>45239</v>
      </c>
      <c r="C965" t="s">
        <v>250</v>
      </c>
      <c r="D965" t="s">
        <v>53</v>
      </c>
      <c r="E965" t="s">
        <v>36</v>
      </c>
      <c r="F965" t="s">
        <v>62</v>
      </c>
      <c r="G965">
        <v>4</v>
      </c>
      <c r="H965">
        <v>195000</v>
      </c>
      <c r="I965">
        <v>15</v>
      </c>
      <c r="J965" t="s">
        <v>16</v>
      </c>
      <c r="K965" s="14">
        <f t="shared" si="15"/>
        <v>663000</v>
      </c>
    </row>
    <row r="966" spans="1:11">
      <c r="A966" t="s">
        <v>1048</v>
      </c>
      <c r="B966" s="2">
        <v>45236</v>
      </c>
      <c r="C966" t="s">
        <v>131</v>
      </c>
      <c r="D966" t="s">
        <v>132</v>
      </c>
      <c r="E966" t="s">
        <v>20</v>
      </c>
      <c r="F966" t="s">
        <v>12</v>
      </c>
      <c r="G966">
        <v>1</v>
      </c>
      <c r="H966">
        <v>280000</v>
      </c>
      <c r="I966">
        <v>0</v>
      </c>
      <c r="J966" t="s">
        <v>16</v>
      </c>
      <c r="K966" s="14">
        <f t="shared" si="15"/>
        <v>280000</v>
      </c>
    </row>
    <row r="967" spans="1:11">
      <c r="A967" t="s">
        <v>1049</v>
      </c>
      <c r="B967" s="2">
        <v>45019</v>
      </c>
      <c r="C967" t="s">
        <v>133</v>
      </c>
      <c r="D967" t="s">
        <v>102</v>
      </c>
      <c r="E967" t="s">
        <v>11</v>
      </c>
      <c r="F967" t="s">
        <v>62</v>
      </c>
      <c r="G967">
        <v>2</v>
      </c>
      <c r="H967">
        <v>430000</v>
      </c>
      <c r="I967">
        <v>0</v>
      </c>
      <c r="J967" t="s">
        <v>71</v>
      </c>
      <c r="K967" s="14">
        <f t="shared" si="15"/>
        <v>860000</v>
      </c>
    </row>
    <row r="968" spans="1:11">
      <c r="A968" t="s">
        <v>1050</v>
      </c>
      <c r="B968" s="2">
        <v>45247</v>
      </c>
      <c r="C968" t="s">
        <v>46</v>
      </c>
      <c r="D968" t="s">
        <v>44</v>
      </c>
      <c r="E968" t="s">
        <v>1290</v>
      </c>
      <c r="F968" t="s">
        <v>12</v>
      </c>
      <c r="G968">
        <v>2</v>
      </c>
      <c r="H968">
        <v>235000</v>
      </c>
      <c r="I968">
        <v>5</v>
      </c>
      <c r="J968" t="s">
        <v>21</v>
      </c>
      <c r="K968" s="14">
        <f t="shared" si="15"/>
        <v>446500</v>
      </c>
    </row>
    <row r="969" spans="1:11">
      <c r="A969" t="s">
        <v>1051</v>
      </c>
      <c r="B969" s="2">
        <v>45183</v>
      </c>
      <c r="C969" t="s">
        <v>133</v>
      </c>
      <c r="D969" t="s">
        <v>102</v>
      </c>
      <c r="E969" t="s">
        <v>11</v>
      </c>
      <c r="F969" t="s">
        <v>62</v>
      </c>
      <c r="G969">
        <v>1</v>
      </c>
      <c r="H969">
        <v>430000</v>
      </c>
      <c r="I969">
        <v>0</v>
      </c>
      <c r="J969" t="s">
        <v>16</v>
      </c>
      <c r="K969" s="14">
        <f t="shared" si="15"/>
        <v>430000</v>
      </c>
    </row>
    <row r="970" spans="1:11">
      <c r="A970" t="s">
        <v>1052</v>
      </c>
      <c r="B970" s="2">
        <v>45041</v>
      </c>
      <c r="C970" t="s">
        <v>101</v>
      </c>
      <c r="D970" t="s">
        <v>102</v>
      </c>
      <c r="E970" t="s">
        <v>11</v>
      </c>
      <c r="F970" t="s">
        <v>12</v>
      </c>
      <c r="G970">
        <v>5</v>
      </c>
      <c r="H970">
        <v>430000</v>
      </c>
      <c r="I970">
        <v>0</v>
      </c>
      <c r="J970" t="s">
        <v>16</v>
      </c>
      <c r="K970" s="14">
        <f t="shared" si="15"/>
        <v>2150000</v>
      </c>
    </row>
    <row r="971" spans="1:11">
      <c r="A971" t="s">
        <v>1053</v>
      </c>
      <c r="B971" s="2">
        <v>45288</v>
      </c>
      <c r="C971" t="s">
        <v>23</v>
      </c>
      <c r="D971" t="s">
        <v>24</v>
      </c>
      <c r="E971" t="s">
        <v>25</v>
      </c>
      <c r="F971" t="s">
        <v>12</v>
      </c>
      <c r="G971">
        <v>3</v>
      </c>
      <c r="H971">
        <v>182000</v>
      </c>
      <c r="I971">
        <v>0</v>
      </c>
      <c r="J971" t="s">
        <v>16</v>
      </c>
      <c r="K971" s="14">
        <f t="shared" si="15"/>
        <v>546000</v>
      </c>
    </row>
    <row r="972" spans="1:11">
      <c r="A972" t="s">
        <v>1054</v>
      </c>
      <c r="B972" s="2">
        <v>45281</v>
      </c>
      <c r="C972" t="s">
        <v>215</v>
      </c>
      <c r="D972" t="s">
        <v>10</v>
      </c>
      <c r="E972" t="s">
        <v>11</v>
      </c>
      <c r="F972" t="s">
        <v>12</v>
      </c>
      <c r="G972">
        <v>2</v>
      </c>
      <c r="H972">
        <v>420000</v>
      </c>
      <c r="I972">
        <v>0</v>
      </c>
      <c r="J972" t="s">
        <v>16</v>
      </c>
      <c r="K972" s="14">
        <f t="shared" si="15"/>
        <v>840000</v>
      </c>
    </row>
    <row r="973" spans="1:11">
      <c r="A973" t="s">
        <v>1055</v>
      </c>
      <c r="B973" s="2">
        <v>45010</v>
      </c>
      <c r="C973" t="s">
        <v>228</v>
      </c>
      <c r="D973" t="s">
        <v>50</v>
      </c>
      <c r="E973" t="s">
        <v>29</v>
      </c>
      <c r="F973" t="s">
        <v>12</v>
      </c>
      <c r="G973">
        <v>1</v>
      </c>
      <c r="H973">
        <v>220000</v>
      </c>
      <c r="I973">
        <v>20</v>
      </c>
      <c r="J973" t="s">
        <v>16</v>
      </c>
      <c r="K973" s="14">
        <f t="shared" si="15"/>
        <v>176000</v>
      </c>
    </row>
    <row r="974" spans="1:11">
      <c r="A974" t="s">
        <v>1056</v>
      </c>
      <c r="B974" s="2">
        <v>45267</v>
      </c>
      <c r="C974" t="s">
        <v>52</v>
      </c>
      <c r="D974" t="s">
        <v>53</v>
      </c>
      <c r="E974" t="s">
        <v>1293</v>
      </c>
      <c r="F974" t="s">
        <v>12</v>
      </c>
      <c r="G974">
        <v>1</v>
      </c>
      <c r="H974">
        <v>195000</v>
      </c>
      <c r="I974">
        <v>20</v>
      </c>
      <c r="J974" t="s">
        <v>16</v>
      </c>
      <c r="K974" s="14">
        <f t="shared" si="15"/>
        <v>156000</v>
      </c>
    </row>
    <row r="975" spans="1:11">
      <c r="A975" t="s">
        <v>1057</v>
      </c>
      <c r="B975" s="2">
        <v>45271</v>
      </c>
      <c r="C975" t="s">
        <v>90</v>
      </c>
      <c r="D975" t="s">
        <v>91</v>
      </c>
      <c r="E975" t="s">
        <v>11</v>
      </c>
      <c r="F975" t="s">
        <v>12</v>
      </c>
      <c r="G975">
        <v>1</v>
      </c>
      <c r="H975">
        <v>425000</v>
      </c>
      <c r="I975">
        <v>0</v>
      </c>
      <c r="J975" t="s">
        <v>41</v>
      </c>
      <c r="K975" s="14">
        <f t="shared" si="15"/>
        <v>425000</v>
      </c>
    </row>
    <row r="976" spans="1:11">
      <c r="A976" t="s">
        <v>1058</v>
      </c>
      <c r="B976" s="2">
        <v>45265</v>
      </c>
      <c r="C976" t="s">
        <v>23</v>
      </c>
      <c r="D976" t="s">
        <v>24</v>
      </c>
      <c r="E976" t="s">
        <v>25</v>
      </c>
      <c r="F976" t="s">
        <v>12</v>
      </c>
      <c r="G976">
        <v>1</v>
      </c>
      <c r="H976">
        <v>182000</v>
      </c>
      <c r="I976">
        <v>0</v>
      </c>
      <c r="J976" t="s">
        <v>41</v>
      </c>
      <c r="K976" s="14">
        <f t="shared" si="15"/>
        <v>182000</v>
      </c>
    </row>
    <row r="977" spans="1:11">
      <c r="A977" t="s">
        <v>1059</v>
      </c>
      <c r="B977" s="2">
        <v>45044</v>
      </c>
      <c r="C977" t="s">
        <v>34</v>
      </c>
      <c r="D977" t="s">
        <v>35</v>
      </c>
      <c r="E977" t="s">
        <v>36</v>
      </c>
      <c r="F977" t="s">
        <v>12</v>
      </c>
      <c r="G977">
        <v>2</v>
      </c>
      <c r="H977">
        <v>198000</v>
      </c>
      <c r="I977">
        <v>0</v>
      </c>
      <c r="J977" t="s">
        <v>71</v>
      </c>
      <c r="K977" s="14">
        <f t="shared" si="15"/>
        <v>396000</v>
      </c>
    </row>
    <row r="978" spans="1:11">
      <c r="A978" t="s">
        <v>1060</v>
      </c>
      <c r="B978" s="2">
        <v>45007</v>
      </c>
      <c r="C978" t="s">
        <v>108</v>
      </c>
      <c r="D978" t="s">
        <v>56</v>
      </c>
      <c r="E978" t="s">
        <v>57</v>
      </c>
      <c r="F978" t="s">
        <v>12</v>
      </c>
      <c r="G978">
        <v>1</v>
      </c>
      <c r="H978">
        <v>105000</v>
      </c>
      <c r="I978">
        <v>0</v>
      </c>
      <c r="J978" t="s">
        <v>16</v>
      </c>
      <c r="K978" s="14">
        <f t="shared" si="15"/>
        <v>105000</v>
      </c>
    </row>
    <row r="979" spans="1:11">
      <c r="A979" t="s">
        <v>1061</v>
      </c>
      <c r="B979" s="2">
        <v>45032</v>
      </c>
      <c r="C979" t="s">
        <v>242</v>
      </c>
      <c r="D979" t="s">
        <v>97</v>
      </c>
      <c r="E979" t="s">
        <v>98</v>
      </c>
      <c r="F979" t="s">
        <v>62</v>
      </c>
      <c r="G979">
        <v>1</v>
      </c>
      <c r="H979">
        <v>170000</v>
      </c>
      <c r="I979">
        <v>10</v>
      </c>
      <c r="J979" t="s">
        <v>16</v>
      </c>
      <c r="K979" s="14">
        <f t="shared" si="15"/>
        <v>153000</v>
      </c>
    </row>
    <row r="980" spans="1:11">
      <c r="A980" t="s">
        <v>1062</v>
      </c>
      <c r="B980" s="2">
        <v>45179</v>
      </c>
      <c r="C980" t="s">
        <v>64</v>
      </c>
      <c r="D980" t="s">
        <v>65</v>
      </c>
      <c r="E980" t="s">
        <v>66</v>
      </c>
      <c r="F980" t="s">
        <v>62</v>
      </c>
      <c r="G980">
        <v>3</v>
      </c>
      <c r="H980">
        <v>295000</v>
      </c>
      <c r="I980">
        <v>10</v>
      </c>
      <c r="J980" t="s">
        <v>16</v>
      </c>
      <c r="K980" s="14">
        <f t="shared" si="15"/>
        <v>796500</v>
      </c>
    </row>
    <row r="981" spans="1:11">
      <c r="A981" t="s">
        <v>1063</v>
      </c>
      <c r="B981" s="2">
        <v>45084</v>
      </c>
      <c r="C981" t="s">
        <v>90</v>
      </c>
      <c r="D981" t="s">
        <v>91</v>
      </c>
      <c r="E981" t="s">
        <v>11</v>
      </c>
      <c r="F981" t="s">
        <v>12</v>
      </c>
      <c r="G981">
        <v>2</v>
      </c>
      <c r="H981">
        <v>425000</v>
      </c>
      <c r="I981">
        <v>0</v>
      </c>
      <c r="J981" t="s">
        <v>71</v>
      </c>
      <c r="K981" s="14">
        <f t="shared" si="15"/>
        <v>850000</v>
      </c>
    </row>
    <row r="982" spans="1:11">
      <c r="A982" t="s">
        <v>1064</v>
      </c>
      <c r="B982" s="2">
        <v>45133</v>
      </c>
      <c r="C982" t="s">
        <v>31</v>
      </c>
      <c r="D982" t="s">
        <v>32</v>
      </c>
      <c r="E982" t="s">
        <v>29</v>
      </c>
      <c r="F982" t="s">
        <v>68</v>
      </c>
      <c r="G982">
        <v>1</v>
      </c>
      <c r="H982">
        <v>215000</v>
      </c>
      <c r="I982">
        <v>0</v>
      </c>
      <c r="J982" t="s">
        <v>41</v>
      </c>
      <c r="K982" s="14">
        <f t="shared" si="15"/>
        <v>215000</v>
      </c>
    </row>
    <row r="983" spans="1:11">
      <c r="A983" t="s">
        <v>1065</v>
      </c>
      <c r="B983" s="2">
        <v>44988</v>
      </c>
      <c r="C983" t="s">
        <v>153</v>
      </c>
      <c r="D983" t="s">
        <v>83</v>
      </c>
      <c r="E983" t="s">
        <v>84</v>
      </c>
      <c r="F983" t="s">
        <v>12</v>
      </c>
      <c r="G983">
        <v>1</v>
      </c>
      <c r="H983">
        <v>395000</v>
      </c>
      <c r="I983">
        <v>0</v>
      </c>
      <c r="J983" t="s">
        <v>71</v>
      </c>
      <c r="K983" s="14">
        <f t="shared" si="15"/>
        <v>395000</v>
      </c>
    </row>
    <row r="984" spans="1:11">
      <c r="A984" t="s">
        <v>1066</v>
      </c>
      <c r="B984" s="2">
        <v>45103</v>
      </c>
      <c r="C984" t="s">
        <v>133</v>
      </c>
      <c r="D984" t="s">
        <v>102</v>
      </c>
      <c r="E984" t="s">
        <v>11</v>
      </c>
      <c r="F984" t="s">
        <v>62</v>
      </c>
      <c r="G984">
        <v>-4</v>
      </c>
      <c r="H984">
        <v>430000</v>
      </c>
      <c r="I984">
        <v>0</v>
      </c>
      <c r="J984" t="s">
        <v>41</v>
      </c>
      <c r="K984" s="14">
        <f t="shared" si="15"/>
        <v>-1720000</v>
      </c>
    </row>
    <row r="985" spans="1:11">
      <c r="A985" t="s">
        <v>1067</v>
      </c>
      <c r="B985" s="2">
        <v>45092</v>
      </c>
      <c r="C985" t="s">
        <v>147</v>
      </c>
      <c r="D985" t="s">
        <v>148</v>
      </c>
      <c r="E985" t="s">
        <v>66</v>
      </c>
      <c r="F985" t="s">
        <v>12</v>
      </c>
      <c r="G985">
        <v>5</v>
      </c>
      <c r="H985">
        <v>305000</v>
      </c>
      <c r="I985">
        <v>5</v>
      </c>
      <c r="J985" t="s">
        <v>21</v>
      </c>
      <c r="K985" s="14">
        <f t="shared" si="15"/>
        <v>1448750</v>
      </c>
    </row>
    <row r="986" spans="1:11">
      <c r="A986" t="s">
        <v>1068</v>
      </c>
      <c r="B986" s="2">
        <v>45208</v>
      </c>
      <c r="C986" t="s">
        <v>90</v>
      </c>
      <c r="D986" t="s">
        <v>91</v>
      </c>
      <c r="E986" t="s">
        <v>11</v>
      </c>
      <c r="F986" t="s">
        <v>12</v>
      </c>
      <c r="G986">
        <v>2</v>
      </c>
      <c r="H986">
        <v>425000</v>
      </c>
      <c r="I986">
        <v>0</v>
      </c>
      <c r="J986" t="s">
        <v>21</v>
      </c>
      <c r="K986" s="14">
        <f t="shared" si="15"/>
        <v>850000</v>
      </c>
    </row>
    <row r="987" spans="1:11">
      <c r="A987" t="s">
        <v>1069</v>
      </c>
      <c r="B987" s="2">
        <v>44958</v>
      </c>
      <c r="C987" t="s">
        <v>133</v>
      </c>
      <c r="D987" t="s">
        <v>102</v>
      </c>
      <c r="E987" t="s">
        <v>11</v>
      </c>
      <c r="F987" t="s">
        <v>62</v>
      </c>
      <c r="G987">
        <v>1</v>
      </c>
      <c r="H987">
        <v>430000</v>
      </c>
      <c r="I987">
        <v>0</v>
      </c>
      <c r="J987" t="s">
        <v>41</v>
      </c>
      <c r="K987" s="14">
        <f t="shared" si="15"/>
        <v>430000</v>
      </c>
    </row>
    <row r="988" spans="1:11">
      <c r="A988" t="s">
        <v>1070</v>
      </c>
      <c r="B988" s="2">
        <v>45214</v>
      </c>
      <c r="C988" t="s">
        <v>23</v>
      </c>
      <c r="D988" t="s">
        <v>24</v>
      </c>
      <c r="E988" t="s">
        <v>25</v>
      </c>
      <c r="F988" t="s">
        <v>12</v>
      </c>
      <c r="G988">
        <v>1</v>
      </c>
      <c r="H988">
        <v>182000</v>
      </c>
      <c r="I988">
        <v>0</v>
      </c>
      <c r="J988" t="s">
        <v>16</v>
      </c>
      <c r="K988" s="14">
        <f t="shared" si="15"/>
        <v>182000</v>
      </c>
    </row>
    <row r="989" spans="1:11">
      <c r="A989" t="s">
        <v>1071</v>
      </c>
      <c r="B989" s="2">
        <v>45064</v>
      </c>
      <c r="C989" t="s">
        <v>75</v>
      </c>
      <c r="D989" t="s">
        <v>32</v>
      </c>
      <c r="E989" t="s">
        <v>29</v>
      </c>
      <c r="F989" t="s">
        <v>12</v>
      </c>
      <c r="G989">
        <v>2</v>
      </c>
      <c r="H989">
        <v>215000</v>
      </c>
      <c r="I989">
        <v>0</v>
      </c>
      <c r="J989" t="s">
        <v>16</v>
      </c>
      <c r="K989" s="14">
        <f t="shared" si="15"/>
        <v>430000</v>
      </c>
    </row>
    <row r="990" spans="1:11">
      <c r="A990" t="s">
        <v>1072</v>
      </c>
      <c r="B990" s="2">
        <v>45105</v>
      </c>
      <c r="C990" t="s">
        <v>162</v>
      </c>
      <c r="D990" t="s">
        <v>56</v>
      </c>
      <c r="E990" t="s">
        <v>57</v>
      </c>
      <c r="F990" t="s">
        <v>68</v>
      </c>
      <c r="G990">
        <v>-1</v>
      </c>
      <c r="H990">
        <v>105000</v>
      </c>
      <c r="I990">
        <v>0</v>
      </c>
      <c r="J990" t="s">
        <v>13</v>
      </c>
      <c r="K990" s="14">
        <f t="shared" si="15"/>
        <v>-105000</v>
      </c>
    </row>
    <row r="991" spans="1:11">
      <c r="A991" t="s">
        <v>1073</v>
      </c>
      <c r="B991" s="2">
        <v>45102</v>
      </c>
      <c r="C991" t="s">
        <v>82</v>
      </c>
      <c r="D991" t="s">
        <v>83</v>
      </c>
      <c r="E991" t="s">
        <v>84</v>
      </c>
      <c r="F991" t="s">
        <v>68</v>
      </c>
      <c r="G991">
        <v>4</v>
      </c>
      <c r="H991">
        <v>395000</v>
      </c>
      <c r="I991">
        <v>20</v>
      </c>
      <c r="J991" t="s">
        <v>21</v>
      </c>
      <c r="K991" s="14">
        <f t="shared" si="15"/>
        <v>1264000</v>
      </c>
    </row>
    <row r="992" spans="1:11">
      <c r="A992" t="s">
        <v>1074</v>
      </c>
      <c r="B992" s="2">
        <v>45196</v>
      </c>
      <c r="C992" t="s">
        <v>52</v>
      </c>
      <c r="D992" t="s">
        <v>53</v>
      </c>
      <c r="E992" t="s">
        <v>1293</v>
      </c>
      <c r="F992" t="s">
        <v>12</v>
      </c>
      <c r="G992">
        <v>2</v>
      </c>
      <c r="H992">
        <v>195000</v>
      </c>
      <c r="I992">
        <v>0</v>
      </c>
      <c r="J992" t="s">
        <v>71</v>
      </c>
      <c r="K992" s="14">
        <f t="shared" si="15"/>
        <v>390000</v>
      </c>
    </row>
    <row r="993" spans="1:11">
      <c r="A993" t="s">
        <v>1075</v>
      </c>
      <c r="B993" s="2">
        <v>45033</v>
      </c>
      <c r="C993" t="s">
        <v>184</v>
      </c>
      <c r="D993" t="s">
        <v>110</v>
      </c>
      <c r="E993" t="s">
        <v>66</v>
      </c>
      <c r="F993" t="s">
        <v>12</v>
      </c>
      <c r="G993">
        <v>3</v>
      </c>
      <c r="H993">
        <v>335000</v>
      </c>
      <c r="I993">
        <v>0</v>
      </c>
      <c r="J993" t="s">
        <v>16</v>
      </c>
      <c r="K993" s="14">
        <f t="shared" si="15"/>
        <v>1005000</v>
      </c>
    </row>
    <row r="994" spans="1:11">
      <c r="A994" t="s">
        <v>1076</v>
      </c>
      <c r="B994" s="2">
        <v>45073</v>
      </c>
      <c r="C994" t="s">
        <v>122</v>
      </c>
      <c r="D994" t="s">
        <v>123</v>
      </c>
      <c r="E994" t="s">
        <v>124</v>
      </c>
      <c r="F994" t="s">
        <v>12</v>
      </c>
      <c r="G994">
        <v>2</v>
      </c>
      <c r="H994">
        <v>228000</v>
      </c>
      <c r="I994">
        <v>10</v>
      </c>
      <c r="J994" t="s">
        <v>71</v>
      </c>
      <c r="K994" s="14">
        <f t="shared" si="15"/>
        <v>410400</v>
      </c>
    </row>
    <row r="995" spans="1:11">
      <c r="A995" t="s">
        <v>1077</v>
      </c>
      <c r="B995" s="2">
        <v>45131</v>
      </c>
      <c r="C995" t="s">
        <v>101</v>
      </c>
      <c r="D995" t="s">
        <v>102</v>
      </c>
      <c r="E995" t="s">
        <v>11</v>
      </c>
      <c r="F995" t="s">
        <v>12</v>
      </c>
      <c r="G995">
        <v>1</v>
      </c>
      <c r="H995">
        <v>430000</v>
      </c>
      <c r="I995">
        <v>0</v>
      </c>
      <c r="J995" t="s">
        <v>71</v>
      </c>
      <c r="K995" s="14">
        <f t="shared" si="15"/>
        <v>430000</v>
      </c>
    </row>
    <row r="996" spans="1:11">
      <c r="A996" t="s">
        <v>1078</v>
      </c>
      <c r="B996" s="2">
        <v>45034</v>
      </c>
      <c r="C996" t="s">
        <v>173</v>
      </c>
      <c r="D996" t="s">
        <v>39</v>
      </c>
      <c r="E996" t="s">
        <v>40</v>
      </c>
      <c r="F996" t="s">
        <v>68</v>
      </c>
      <c r="G996">
        <v>2</v>
      </c>
      <c r="H996">
        <v>320000</v>
      </c>
      <c r="I996">
        <v>0</v>
      </c>
      <c r="J996" t="s">
        <v>71</v>
      </c>
      <c r="K996" s="14">
        <f t="shared" si="15"/>
        <v>640000</v>
      </c>
    </row>
    <row r="997" spans="1:11">
      <c r="A997" t="s">
        <v>1079</v>
      </c>
      <c r="B997" s="2">
        <v>45267</v>
      </c>
      <c r="C997" t="s">
        <v>119</v>
      </c>
      <c r="D997" t="s">
        <v>120</v>
      </c>
      <c r="E997" t="s">
        <v>11</v>
      </c>
      <c r="F997" t="s">
        <v>68</v>
      </c>
      <c r="G997">
        <v>1</v>
      </c>
      <c r="H997">
        <v>440000</v>
      </c>
      <c r="I997">
        <v>0</v>
      </c>
      <c r="J997" t="s">
        <v>16</v>
      </c>
      <c r="K997" s="14">
        <f t="shared" si="15"/>
        <v>440000</v>
      </c>
    </row>
    <row r="998" spans="1:11">
      <c r="A998" t="s">
        <v>1080</v>
      </c>
      <c r="B998" s="2">
        <v>45121</v>
      </c>
      <c r="C998" t="s">
        <v>131</v>
      </c>
      <c r="D998" t="s">
        <v>132</v>
      </c>
      <c r="E998" t="s">
        <v>20</v>
      </c>
      <c r="F998" t="s">
        <v>12</v>
      </c>
      <c r="G998">
        <v>1</v>
      </c>
      <c r="H998">
        <v>280000</v>
      </c>
      <c r="I998">
        <v>0</v>
      </c>
      <c r="J998" t="s">
        <v>21</v>
      </c>
      <c r="K998" s="14">
        <f t="shared" si="15"/>
        <v>280000</v>
      </c>
    </row>
    <row r="999" spans="1:11">
      <c r="A999" t="s">
        <v>1081</v>
      </c>
      <c r="B999" s="2">
        <v>45160</v>
      </c>
      <c r="C999" t="s">
        <v>101</v>
      </c>
      <c r="D999" t="s">
        <v>102</v>
      </c>
      <c r="E999" t="s">
        <v>11</v>
      </c>
      <c r="F999" t="s">
        <v>12</v>
      </c>
      <c r="G999">
        <v>3</v>
      </c>
      <c r="H999">
        <v>430000</v>
      </c>
      <c r="I999">
        <v>5</v>
      </c>
      <c r="J999" t="s">
        <v>71</v>
      </c>
      <c r="K999" s="14">
        <f t="shared" si="15"/>
        <v>1225500</v>
      </c>
    </row>
    <row r="1000" spans="1:11">
      <c r="A1000" t="s">
        <v>1082</v>
      </c>
      <c r="B1000" s="2">
        <v>45110</v>
      </c>
      <c r="C1000" t="s">
        <v>96</v>
      </c>
      <c r="D1000" t="s">
        <v>97</v>
      </c>
      <c r="E1000" t="s">
        <v>98</v>
      </c>
      <c r="F1000" t="s">
        <v>12</v>
      </c>
      <c r="G1000">
        <v>1</v>
      </c>
      <c r="H1000">
        <v>170000</v>
      </c>
      <c r="I1000">
        <v>0</v>
      </c>
      <c r="J1000" t="s">
        <v>1268</v>
      </c>
      <c r="K1000" s="14">
        <f t="shared" si="15"/>
        <v>170000</v>
      </c>
    </row>
    <row r="1001" spans="1:11">
      <c r="A1001" t="s">
        <v>1083</v>
      </c>
      <c r="B1001" s="2">
        <v>45088</v>
      </c>
      <c r="C1001" t="s">
        <v>27</v>
      </c>
      <c r="D1001" t="s">
        <v>28</v>
      </c>
      <c r="E1001" t="s">
        <v>29</v>
      </c>
      <c r="F1001" t="s">
        <v>12</v>
      </c>
      <c r="G1001">
        <v>5</v>
      </c>
      <c r="H1001">
        <v>210000</v>
      </c>
      <c r="I1001">
        <v>0</v>
      </c>
      <c r="J1001" t="s">
        <v>21</v>
      </c>
      <c r="K1001" s="14">
        <f t="shared" si="15"/>
        <v>1050000</v>
      </c>
    </row>
    <row r="1002" spans="1:11">
      <c r="A1002" t="s">
        <v>574</v>
      </c>
      <c r="B1002" s="2">
        <v>44935</v>
      </c>
      <c r="C1002" t="s">
        <v>250</v>
      </c>
      <c r="D1002" t="s">
        <v>53</v>
      </c>
      <c r="E1002" t="s">
        <v>36</v>
      </c>
      <c r="F1002" t="s">
        <v>62</v>
      </c>
      <c r="G1002">
        <v>2</v>
      </c>
      <c r="H1002">
        <v>195000</v>
      </c>
      <c r="I1002">
        <v>0</v>
      </c>
      <c r="J1002" t="s">
        <v>16</v>
      </c>
      <c r="K1002" s="14">
        <f t="shared" si="15"/>
        <v>390000</v>
      </c>
    </row>
    <row r="1003" spans="1:11">
      <c r="A1003" t="s">
        <v>1084</v>
      </c>
      <c r="B1003" s="2">
        <v>45060</v>
      </c>
      <c r="C1003" t="s">
        <v>119</v>
      </c>
      <c r="D1003" t="s">
        <v>120</v>
      </c>
      <c r="E1003" t="s">
        <v>11</v>
      </c>
      <c r="F1003" t="s">
        <v>68</v>
      </c>
      <c r="G1003">
        <v>4</v>
      </c>
      <c r="H1003">
        <v>440000</v>
      </c>
      <c r="I1003">
        <v>0</v>
      </c>
      <c r="J1003" t="s">
        <v>16</v>
      </c>
      <c r="K1003" s="14">
        <f t="shared" ref="K1003:K1065" si="16">G1003*H1003*(1-I1003/100)</f>
        <v>1760000</v>
      </c>
    </row>
    <row r="1004" spans="1:11">
      <c r="A1004" t="s">
        <v>1085</v>
      </c>
      <c r="B1004" s="2">
        <v>45256</v>
      </c>
      <c r="C1004" t="s">
        <v>23</v>
      </c>
      <c r="D1004" t="s">
        <v>24</v>
      </c>
      <c r="E1004" t="s">
        <v>25</v>
      </c>
      <c r="F1004" t="s">
        <v>12</v>
      </c>
      <c r="G1004">
        <v>1</v>
      </c>
      <c r="H1004">
        <v>182000</v>
      </c>
      <c r="I1004">
        <v>0</v>
      </c>
      <c r="J1004" t="s">
        <v>16</v>
      </c>
      <c r="K1004" s="14">
        <f t="shared" si="16"/>
        <v>182000</v>
      </c>
    </row>
    <row r="1005" spans="1:11">
      <c r="A1005" t="s">
        <v>1086</v>
      </c>
      <c r="B1005" s="2">
        <v>44938</v>
      </c>
      <c r="C1005" t="s">
        <v>38</v>
      </c>
      <c r="D1005" t="s">
        <v>39</v>
      </c>
      <c r="E1005" t="s">
        <v>40</v>
      </c>
      <c r="F1005" t="s">
        <v>12</v>
      </c>
      <c r="G1005">
        <v>1</v>
      </c>
      <c r="H1005">
        <v>320000</v>
      </c>
      <c r="I1005">
        <v>10</v>
      </c>
      <c r="J1005" t="s">
        <v>16</v>
      </c>
      <c r="K1005" s="14">
        <f t="shared" si="16"/>
        <v>288000</v>
      </c>
    </row>
    <row r="1006" spans="1:11">
      <c r="A1006" t="s">
        <v>1087</v>
      </c>
      <c r="B1006" s="2">
        <v>45099</v>
      </c>
      <c r="C1006" t="s">
        <v>15</v>
      </c>
      <c r="D1006" t="s">
        <v>10</v>
      </c>
      <c r="E1006" t="s">
        <v>11</v>
      </c>
      <c r="F1006" t="s">
        <v>68</v>
      </c>
      <c r="G1006">
        <v>2</v>
      </c>
      <c r="H1006">
        <v>420000</v>
      </c>
      <c r="I1006">
        <v>15</v>
      </c>
      <c r="J1006" t="s">
        <v>41</v>
      </c>
      <c r="K1006" s="14">
        <f t="shared" si="16"/>
        <v>714000</v>
      </c>
    </row>
    <row r="1007" spans="1:11">
      <c r="A1007" t="s">
        <v>1088</v>
      </c>
      <c r="B1007" s="2">
        <v>45025</v>
      </c>
      <c r="C1007" t="s">
        <v>60</v>
      </c>
      <c r="D1007" t="s">
        <v>61</v>
      </c>
      <c r="E1007" t="s">
        <v>20</v>
      </c>
      <c r="F1007" t="s">
        <v>62</v>
      </c>
      <c r="G1007">
        <v>2</v>
      </c>
      <c r="H1007">
        <v>260000</v>
      </c>
      <c r="I1007">
        <v>0</v>
      </c>
      <c r="J1007" t="s">
        <v>41</v>
      </c>
      <c r="K1007" s="14">
        <f t="shared" si="16"/>
        <v>520000</v>
      </c>
    </row>
    <row r="1008" spans="1:11">
      <c r="A1008" t="s">
        <v>1089</v>
      </c>
      <c r="B1008" s="2">
        <v>45209</v>
      </c>
      <c r="C1008" t="s">
        <v>52</v>
      </c>
      <c r="D1008" t="s">
        <v>53</v>
      </c>
      <c r="E1008" t="s">
        <v>1293</v>
      </c>
      <c r="F1008" t="s">
        <v>12</v>
      </c>
      <c r="G1008">
        <v>2</v>
      </c>
      <c r="H1008">
        <v>195000</v>
      </c>
      <c r="I1008">
        <v>0</v>
      </c>
      <c r="J1008" t="s">
        <v>41</v>
      </c>
      <c r="K1008" s="14">
        <f t="shared" si="16"/>
        <v>390000</v>
      </c>
    </row>
    <row r="1009" spans="1:11">
      <c r="A1009" t="s">
        <v>1090</v>
      </c>
      <c r="B1009" s="2">
        <v>45255</v>
      </c>
      <c r="C1009" t="s">
        <v>153</v>
      </c>
      <c r="D1009" t="s">
        <v>83</v>
      </c>
      <c r="E1009" t="s">
        <v>84</v>
      </c>
      <c r="F1009" t="s">
        <v>12</v>
      </c>
      <c r="G1009">
        <v>5</v>
      </c>
      <c r="H1009">
        <v>395000</v>
      </c>
      <c r="I1009">
        <v>20</v>
      </c>
      <c r="J1009" t="s">
        <v>21</v>
      </c>
      <c r="K1009" s="14">
        <f t="shared" si="16"/>
        <v>1580000</v>
      </c>
    </row>
    <row r="1010" spans="1:11">
      <c r="A1010" t="s">
        <v>1091</v>
      </c>
      <c r="B1010" s="2">
        <v>45119</v>
      </c>
      <c r="C1010" t="s">
        <v>49</v>
      </c>
      <c r="D1010" t="s">
        <v>50</v>
      </c>
      <c r="E1010" t="s">
        <v>29</v>
      </c>
      <c r="F1010" t="s">
        <v>62</v>
      </c>
      <c r="G1010">
        <v>1</v>
      </c>
      <c r="H1010">
        <v>220000</v>
      </c>
      <c r="I1010">
        <v>0</v>
      </c>
      <c r="J1010" t="s">
        <v>71</v>
      </c>
      <c r="K1010" s="14">
        <f t="shared" si="16"/>
        <v>220000</v>
      </c>
    </row>
    <row r="1011" spans="1:11">
      <c r="A1011" t="s">
        <v>1092</v>
      </c>
      <c r="B1011" s="2">
        <v>45243</v>
      </c>
      <c r="C1011" t="s">
        <v>23</v>
      </c>
      <c r="D1011" t="s">
        <v>24</v>
      </c>
      <c r="E1011" t="s">
        <v>25</v>
      </c>
      <c r="F1011" t="s">
        <v>12</v>
      </c>
      <c r="G1011">
        <v>1</v>
      </c>
      <c r="H1011">
        <v>182000</v>
      </c>
      <c r="I1011">
        <v>0</v>
      </c>
      <c r="J1011" t="s">
        <v>21</v>
      </c>
      <c r="K1011" s="14">
        <f t="shared" si="16"/>
        <v>182000</v>
      </c>
    </row>
    <row r="1012" spans="1:11">
      <c r="A1012" t="s">
        <v>1093</v>
      </c>
      <c r="B1012" s="2">
        <v>44942</v>
      </c>
      <c r="C1012" t="s">
        <v>242</v>
      </c>
      <c r="D1012" t="s">
        <v>97</v>
      </c>
      <c r="E1012" t="s">
        <v>98</v>
      </c>
      <c r="F1012" t="s">
        <v>62</v>
      </c>
      <c r="G1012">
        <v>3</v>
      </c>
      <c r="H1012">
        <v>170000</v>
      </c>
      <c r="I1012">
        <v>0</v>
      </c>
      <c r="J1012" t="s">
        <v>16</v>
      </c>
      <c r="K1012" s="14">
        <f t="shared" si="16"/>
        <v>510000</v>
      </c>
    </row>
    <row r="1013" spans="1:11">
      <c r="A1013" t="s">
        <v>1094</v>
      </c>
      <c r="B1013" s="2">
        <v>45262</v>
      </c>
      <c r="C1013" t="s">
        <v>131</v>
      </c>
      <c r="D1013" t="s">
        <v>132</v>
      </c>
      <c r="E1013" t="s">
        <v>20</v>
      </c>
      <c r="F1013" t="s">
        <v>12</v>
      </c>
      <c r="G1013">
        <v>2</v>
      </c>
      <c r="H1013">
        <v>280000</v>
      </c>
      <c r="I1013">
        <v>0</v>
      </c>
      <c r="J1013" t="s">
        <v>21</v>
      </c>
      <c r="K1013" s="14">
        <f t="shared" si="16"/>
        <v>560000</v>
      </c>
    </row>
    <row r="1014" spans="1:11">
      <c r="A1014" t="s">
        <v>1095</v>
      </c>
      <c r="B1014" s="2">
        <v>44976</v>
      </c>
      <c r="C1014" t="s">
        <v>75</v>
      </c>
      <c r="D1014" t="s">
        <v>32</v>
      </c>
      <c r="E1014" t="s">
        <v>29</v>
      </c>
      <c r="F1014" t="s">
        <v>12</v>
      </c>
      <c r="G1014">
        <v>1</v>
      </c>
      <c r="H1014">
        <v>215000</v>
      </c>
      <c r="I1014">
        <v>0</v>
      </c>
      <c r="J1014" t="s">
        <v>16</v>
      </c>
      <c r="K1014" s="14">
        <f t="shared" si="16"/>
        <v>215000</v>
      </c>
    </row>
    <row r="1015" spans="1:11">
      <c r="A1015" t="s">
        <v>1096</v>
      </c>
      <c r="B1015" s="2">
        <v>44989</v>
      </c>
      <c r="C1015" t="s">
        <v>133</v>
      </c>
      <c r="D1015" t="s">
        <v>102</v>
      </c>
      <c r="E1015" t="s">
        <v>11</v>
      </c>
      <c r="F1015" t="s">
        <v>62</v>
      </c>
      <c r="G1015">
        <v>1</v>
      </c>
      <c r="H1015">
        <v>430000</v>
      </c>
      <c r="I1015">
        <v>0</v>
      </c>
      <c r="J1015" t="s">
        <v>71</v>
      </c>
      <c r="K1015" s="14">
        <f t="shared" si="16"/>
        <v>430000</v>
      </c>
    </row>
    <row r="1016" spans="1:11">
      <c r="A1016" t="s">
        <v>1097</v>
      </c>
      <c r="B1016" s="2">
        <v>45210</v>
      </c>
      <c r="C1016" t="s">
        <v>215</v>
      </c>
      <c r="D1016" t="s">
        <v>10</v>
      </c>
      <c r="E1016" t="s">
        <v>11</v>
      </c>
      <c r="F1016" t="s">
        <v>12</v>
      </c>
      <c r="G1016">
        <v>1</v>
      </c>
      <c r="H1016">
        <v>420000</v>
      </c>
      <c r="I1016">
        <v>15</v>
      </c>
      <c r="J1016" t="s">
        <v>21</v>
      </c>
      <c r="K1016" s="14">
        <f t="shared" si="16"/>
        <v>357000</v>
      </c>
    </row>
    <row r="1017" spans="1:11">
      <c r="A1017" t="s">
        <v>1098</v>
      </c>
      <c r="B1017" s="2">
        <v>45241</v>
      </c>
      <c r="C1017" t="s">
        <v>70</v>
      </c>
      <c r="D1017" t="s">
        <v>65</v>
      </c>
      <c r="E1017" t="s">
        <v>66</v>
      </c>
      <c r="F1017" t="s">
        <v>12</v>
      </c>
      <c r="G1017">
        <v>2</v>
      </c>
      <c r="H1017">
        <v>295000</v>
      </c>
      <c r="I1017">
        <v>0</v>
      </c>
      <c r="J1017" t="s">
        <v>21</v>
      </c>
      <c r="K1017" s="14">
        <f t="shared" si="16"/>
        <v>590000</v>
      </c>
    </row>
    <row r="1018" spans="1:11">
      <c r="A1018" t="s">
        <v>1099</v>
      </c>
      <c r="B1018" s="2">
        <v>45244</v>
      </c>
      <c r="C1018" t="s">
        <v>242</v>
      </c>
      <c r="D1018" t="s">
        <v>97</v>
      </c>
      <c r="E1018" t="s">
        <v>98</v>
      </c>
      <c r="F1018" t="s">
        <v>62</v>
      </c>
      <c r="G1018">
        <v>5</v>
      </c>
      <c r="H1018">
        <v>170000</v>
      </c>
      <c r="I1018">
        <v>0</v>
      </c>
      <c r="J1018" t="s">
        <v>21</v>
      </c>
      <c r="K1018" s="14">
        <f t="shared" si="16"/>
        <v>850000</v>
      </c>
    </row>
    <row r="1019" spans="1:11">
      <c r="A1019" t="s">
        <v>1100</v>
      </c>
      <c r="B1019" s="2">
        <v>45018</v>
      </c>
      <c r="C1019" t="s">
        <v>122</v>
      </c>
      <c r="D1019" t="s">
        <v>123</v>
      </c>
      <c r="E1019" t="s">
        <v>124</v>
      </c>
      <c r="F1019" t="s">
        <v>12</v>
      </c>
      <c r="G1019">
        <v>3</v>
      </c>
      <c r="H1019">
        <v>228000</v>
      </c>
      <c r="I1019">
        <v>0</v>
      </c>
      <c r="J1019" t="s">
        <v>71</v>
      </c>
      <c r="K1019" s="14">
        <f t="shared" si="16"/>
        <v>684000</v>
      </c>
    </row>
    <row r="1020" spans="1:11">
      <c r="A1020" t="s">
        <v>1101</v>
      </c>
      <c r="B1020" s="2">
        <v>45009</v>
      </c>
      <c r="C1020" t="s">
        <v>299</v>
      </c>
      <c r="D1020" t="s">
        <v>120</v>
      </c>
      <c r="E1020" t="s">
        <v>11</v>
      </c>
      <c r="F1020" t="s">
        <v>12</v>
      </c>
      <c r="G1020">
        <v>2</v>
      </c>
      <c r="H1020">
        <v>440000</v>
      </c>
      <c r="I1020">
        <v>0</v>
      </c>
      <c r="J1020" t="s">
        <v>41</v>
      </c>
      <c r="K1020" s="14">
        <f t="shared" si="16"/>
        <v>880000</v>
      </c>
    </row>
    <row r="1021" spans="1:11">
      <c r="A1021" t="s">
        <v>1102</v>
      </c>
      <c r="B1021" s="2">
        <v>45290</v>
      </c>
      <c r="C1021" t="s">
        <v>153</v>
      </c>
      <c r="D1021" t="s">
        <v>83</v>
      </c>
      <c r="E1021" t="s">
        <v>84</v>
      </c>
      <c r="F1021" t="s">
        <v>12</v>
      </c>
      <c r="G1021">
        <v>1</v>
      </c>
      <c r="H1021">
        <v>395000</v>
      </c>
      <c r="I1021">
        <v>0</v>
      </c>
      <c r="J1021" t="s">
        <v>287</v>
      </c>
      <c r="K1021" s="14">
        <f t="shared" si="16"/>
        <v>395000</v>
      </c>
    </row>
    <row r="1022" spans="1:11">
      <c r="A1022" t="s">
        <v>1103</v>
      </c>
      <c r="B1022" s="2">
        <v>45248</v>
      </c>
      <c r="C1022" t="s">
        <v>38</v>
      </c>
      <c r="D1022" t="s">
        <v>39</v>
      </c>
      <c r="E1022" t="s">
        <v>40</v>
      </c>
      <c r="F1022" t="s">
        <v>12</v>
      </c>
      <c r="G1022">
        <v>1</v>
      </c>
      <c r="H1022">
        <v>320000</v>
      </c>
      <c r="I1022">
        <v>0</v>
      </c>
      <c r="J1022" t="s">
        <v>21</v>
      </c>
      <c r="K1022" s="14">
        <f t="shared" si="16"/>
        <v>320000</v>
      </c>
    </row>
    <row r="1023" spans="1:11">
      <c r="A1023" t="s">
        <v>1104</v>
      </c>
      <c r="B1023" s="2">
        <v>45286</v>
      </c>
      <c r="C1023" t="s">
        <v>94</v>
      </c>
      <c r="D1023" t="s">
        <v>50</v>
      </c>
      <c r="E1023" t="s">
        <v>29</v>
      </c>
      <c r="F1023" t="s">
        <v>68</v>
      </c>
      <c r="G1023">
        <v>1</v>
      </c>
      <c r="H1023">
        <v>220000</v>
      </c>
      <c r="I1023">
        <v>5</v>
      </c>
      <c r="J1023" t="s">
        <v>71</v>
      </c>
      <c r="K1023" s="14">
        <f t="shared" si="16"/>
        <v>209000</v>
      </c>
    </row>
    <row r="1024" spans="1:11">
      <c r="A1024" t="s">
        <v>1105</v>
      </c>
      <c r="B1024" s="2">
        <v>45061</v>
      </c>
      <c r="C1024" t="s">
        <v>144</v>
      </c>
      <c r="D1024" t="s">
        <v>142</v>
      </c>
      <c r="E1024" t="s">
        <v>66</v>
      </c>
      <c r="F1024" t="s">
        <v>12</v>
      </c>
      <c r="G1024">
        <v>2</v>
      </c>
      <c r="H1024">
        <v>330000</v>
      </c>
      <c r="I1024">
        <v>0</v>
      </c>
      <c r="J1024" t="s">
        <v>47</v>
      </c>
      <c r="K1024" s="14">
        <f t="shared" si="16"/>
        <v>660000</v>
      </c>
    </row>
    <row r="1025" spans="1:11">
      <c r="A1025" t="s">
        <v>1106</v>
      </c>
      <c r="B1025" s="2">
        <v>45282</v>
      </c>
      <c r="C1025" t="s">
        <v>18</v>
      </c>
      <c r="D1025" t="s">
        <v>19</v>
      </c>
      <c r="E1025" t="s">
        <v>20</v>
      </c>
      <c r="F1025" t="s">
        <v>12</v>
      </c>
      <c r="G1025">
        <v>3</v>
      </c>
      <c r="H1025">
        <v>265000</v>
      </c>
      <c r="I1025">
        <v>0</v>
      </c>
      <c r="J1025" t="s">
        <v>21</v>
      </c>
      <c r="K1025" s="14">
        <f t="shared" si="16"/>
        <v>795000</v>
      </c>
    </row>
    <row r="1026" spans="1:11">
      <c r="A1026" t="s">
        <v>1107</v>
      </c>
      <c r="B1026" s="2">
        <v>44931</v>
      </c>
      <c r="C1026" t="s">
        <v>96</v>
      </c>
      <c r="D1026" t="s">
        <v>97</v>
      </c>
      <c r="E1026" t="s">
        <v>98</v>
      </c>
      <c r="F1026" t="s">
        <v>12</v>
      </c>
      <c r="G1026">
        <v>2</v>
      </c>
      <c r="H1026">
        <v>170000</v>
      </c>
      <c r="I1026">
        <v>0</v>
      </c>
      <c r="J1026" t="s">
        <v>16</v>
      </c>
      <c r="K1026" s="14">
        <f t="shared" si="16"/>
        <v>340000</v>
      </c>
    </row>
    <row r="1027" spans="1:11">
      <c r="A1027" t="s">
        <v>1108</v>
      </c>
      <c r="B1027" s="2">
        <v>45231</v>
      </c>
      <c r="C1027" t="s">
        <v>144</v>
      </c>
      <c r="D1027" t="s">
        <v>142</v>
      </c>
      <c r="E1027" t="s">
        <v>66</v>
      </c>
      <c r="F1027" t="s">
        <v>12</v>
      </c>
      <c r="G1027">
        <v>1</v>
      </c>
      <c r="H1027">
        <v>330000</v>
      </c>
      <c r="I1027">
        <v>0</v>
      </c>
      <c r="J1027" t="s">
        <v>21</v>
      </c>
      <c r="K1027" s="14">
        <f t="shared" si="16"/>
        <v>330000</v>
      </c>
    </row>
    <row r="1028" spans="1:11">
      <c r="A1028" t="s">
        <v>1109</v>
      </c>
      <c r="B1028" s="2">
        <v>44956</v>
      </c>
      <c r="C1028" t="s">
        <v>70</v>
      </c>
      <c r="D1028" t="s">
        <v>65</v>
      </c>
      <c r="E1028" t="s">
        <v>66</v>
      </c>
      <c r="F1028" t="s">
        <v>12</v>
      </c>
      <c r="G1028">
        <v>3</v>
      </c>
      <c r="H1028">
        <v>295000</v>
      </c>
      <c r="I1028">
        <v>0</v>
      </c>
      <c r="J1028" t="s">
        <v>71</v>
      </c>
      <c r="K1028" s="14">
        <f t="shared" si="16"/>
        <v>885000</v>
      </c>
    </row>
    <row r="1029" spans="1:11">
      <c r="A1029" t="s">
        <v>1110</v>
      </c>
      <c r="B1029" s="2">
        <v>45090</v>
      </c>
      <c r="C1029" t="s">
        <v>70</v>
      </c>
      <c r="D1029" t="s">
        <v>65</v>
      </c>
      <c r="E1029" t="s">
        <v>66</v>
      </c>
      <c r="F1029" t="s">
        <v>12</v>
      </c>
      <c r="G1029">
        <v>1</v>
      </c>
      <c r="H1029">
        <v>295000</v>
      </c>
      <c r="I1029">
        <v>0</v>
      </c>
      <c r="J1029" t="s">
        <v>16</v>
      </c>
      <c r="K1029" s="14">
        <f t="shared" si="16"/>
        <v>295000</v>
      </c>
    </row>
    <row r="1030" spans="1:11">
      <c r="A1030" t="s">
        <v>1111</v>
      </c>
      <c r="B1030" s="2">
        <v>45191</v>
      </c>
      <c r="C1030" t="s">
        <v>215</v>
      </c>
      <c r="D1030" t="s">
        <v>10</v>
      </c>
      <c r="E1030" t="s">
        <v>11</v>
      </c>
      <c r="F1030" t="s">
        <v>12</v>
      </c>
      <c r="G1030">
        <v>1</v>
      </c>
      <c r="H1030">
        <v>420000</v>
      </c>
      <c r="I1030">
        <v>0</v>
      </c>
      <c r="J1030" t="s">
        <v>21</v>
      </c>
      <c r="K1030" s="14">
        <f t="shared" si="16"/>
        <v>420000</v>
      </c>
    </row>
    <row r="1031" spans="1:11">
      <c r="A1031" t="s">
        <v>1112</v>
      </c>
      <c r="B1031" s="2">
        <v>44992</v>
      </c>
      <c r="C1031" t="s">
        <v>250</v>
      </c>
      <c r="D1031" t="s">
        <v>53</v>
      </c>
      <c r="E1031" t="s">
        <v>36</v>
      </c>
      <c r="F1031" t="s">
        <v>62</v>
      </c>
      <c r="G1031">
        <v>1</v>
      </c>
      <c r="H1031">
        <v>195000</v>
      </c>
      <c r="I1031">
        <v>0</v>
      </c>
      <c r="J1031" t="s">
        <v>16</v>
      </c>
      <c r="K1031" s="14">
        <f t="shared" si="16"/>
        <v>195000</v>
      </c>
    </row>
    <row r="1032" spans="1:11">
      <c r="A1032" t="s">
        <v>1113</v>
      </c>
      <c r="B1032" s="2">
        <v>45253</v>
      </c>
      <c r="C1032" t="s">
        <v>27</v>
      </c>
      <c r="D1032" t="s">
        <v>28</v>
      </c>
      <c r="E1032" t="s">
        <v>29</v>
      </c>
      <c r="F1032" t="s">
        <v>12</v>
      </c>
      <c r="G1032">
        <v>2</v>
      </c>
      <c r="H1032">
        <v>210000</v>
      </c>
      <c r="I1032">
        <v>0</v>
      </c>
      <c r="J1032" t="s">
        <v>1268</v>
      </c>
      <c r="K1032" s="14">
        <f t="shared" si="16"/>
        <v>420000</v>
      </c>
    </row>
    <row r="1033" spans="1:11">
      <c r="A1033" t="s">
        <v>1114</v>
      </c>
      <c r="B1033" s="2">
        <v>45236</v>
      </c>
      <c r="C1033" t="s">
        <v>162</v>
      </c>
      <c r="D1033" t="s">
        <v>56</v>
      </c>
      <c r="E1033" t="s">
        <v>57</v>
      </c>
      <c r="F1033" t="s">
        <v>68</v>
      </c>
      <c r="G1033">
        <v>4</v>
      </c>
      <c r="H1033">
        <v>105000</v>
      </c>
      <c r="I1033">
        <v>0</v>
      </c>
      <c r="J1033" t="s">
        <v>16</v>
      </c>
      <c r="K1033" s="14">
        <f t="shared" si="16"/>
        <v>420000</v>
      </c>
    </row>
    <row r="1034" spans="1:11">
      <c r="A1034" t="s">
        <v>1115</v>
      </c>
      <c r="B1034" s="2">
        <v>44979</v>
      </c>
      <c r="C1034" t="s">
        <v>31</v>
      </c>
      <c r="D1034" t="s">
        <v>32</v>
      </c>
      <c r="E1034" t="s">
        <v>29</v>
      </c>
      <c r="F1034" t="s">
        <v>68</v>
      </c>
      <c r="G1034">
        <v>1</v>
      </c>
      <c r="H1034">
        <v>215000</v>
      </c>
      <c r="I1034">
        <v>0</v>
      </c>
      <c r="J1034" t="s">
        <v>16</v>
      </c>
      <c r="K1034" s="14">
        <f t="shared" si="16"/>
        <v>215000</v>
      </c>
    </row>
    <row r="1035" spans="1:11">
      <c r="A1035" t="s">
        <v>1116</v>
      </c>
      <c r="B1035" s="2">
        <v>45275</v>
      </c>
      <c r="C1035" t="s">
        <v>96</v>
      </c>
      <c r="D1035" t="s">
        <v>97</v>
      </c>
      <c r="E1035" t="s">
        <v>98</v>
      </c>
      <c r="F1035" t="s">
        <v>12</v>
      </c>
      <c r="G1035">
        <v>5</v>
      </c>
      <c r="H1035">
        <v>170000</v>
      </c>
      <c r="I1035">
        <v>15</v>
      </c>
      <c r="J1035" t="s">
        <v>16</v>
      </c>
      <c r="K1035" s="14">
        <f t="shared" si="16"/>
        <v>722500</v>
      </c>
    </row>
    <row r="1036" spans="1:11">
      <c r="A1036" t="s">
        <v>1117</v>
      </c>
      <c r="B1036" s="2">
        <v>45244</v>
      </c>
      <c r="C1036" t="s">
        <v>119</v>
      </c>
      <c r="D1036" t="s">
        <v>120</v>
      </c>
      <c r="E1036" t="s">
        <v>11</v>
      </c>
      <c r="F1036" t="s">
        <v>68</v>
      </c>
      <c r="G1036">
        <v>1</v>
      </c>
      <c r="H1036">
        <v>440000</v>
      </c>
      <c r="I1036">
        <v>0</v>
      </c>
      <c r="J1036" t="s">
        <v>287</v>
      </c>
      <c r="K1036" s="14">
        <f t="shared" si="16"/>
        <v>440000</v>
      </c>
    </row>
    <row r="1037" spans="1:11">
      <c r="A1037" t="s">
        <v>1118</v>
      </c>
      <c r="B1037" s="2">
        <v>45156</v>
      </c>
      <c r="C1037" t="s">
        <v>70</v>
      </c>
      <c r="D1037" t="s">
        <v>65</v>
      </c>
      <c r="E1037" t="s">
        <v>66</v>
      </c>
      <c r="F1037" t="s">
        <v>12</v>
      </c>
      <c r="G1037">
        <v>-1</v>
      </c>
      <c r="H1037">
        <v>295000</v>
      </c>
      <c r="I1037">
        <v>0</v>
      </c>
      <c r="J1037" t="s">
        <v>71</v>
      </c>
      <c r="K1037" s="14">
        <f t="shared" si="16"/>
        <v>-295000</v>
      </c>
    </row>
    <row r="1038" spans="1:11">
      <c r="A1038" t="s">
        <v>1119</v>
      </c>
      <c r="B1038" s="2">
        <v>44993</v>
      </c>
      <c r="C1038" t="s">
        <v>15</v>
      </c>
      <c r="D1038" t="s">
        <v>10</v>
      </c>
      <c r="E1038" t="s">
        <v>11</v>
      </c>
      <c r="F1038" t="s">
        <v>68</v>
      </c>
      <c r="G1038">
        <v>2</v>
      </c>
      <c r="H1038">
        <v>420000</v>
      </c>
      <c r="I1038">
        <v>5</v>
      </c>
      <c r="J1038" t="s">
        <v>71</v>
      </c>
      <c r="K1038" s="14">
        <f t="shared" si="16"/>
        <v>798000</v>
      </c>
    </row>
    <row r="1039" spans="1:11">
      <c r="A1039" t="s">
        <v>1120</v>
      </c>
      <c r="B1039" s="2">
        <v>44976</v>
      </c>
      <c r="C1039" t="s">
        <v>104</v>
      </c>
      <c r="D1039" t="s">
        <v>105</v>
      </c>
      <c r="E1039" t="s">
        <v>29</v>
      </c>
      <c r="F1039" t="s">
        <v>12</v>
      </c>
      <c r="G1039">
        <v>1</v>
      </c>
      <c r="H1039">
        <v>210000</v>
      </c>
      <c r="I1039">
        <v>0</v>
      </c>
      <c r="J1039" t="s">
        <v>21</v>
      </c>
      <c r="K1039" s="14">
        <f t="shared" si="16"/>
        <v>210000</v>
      </c>
    </row>
    <row r="1040" spans="1:11">
      <c r="A1040" t="s">
        <v>1121</v>
      </c>
      <c r="B1040" s="2">
        <v>45101</v>
      </c>
      <c r="C1040" t="s">
        <v>49</v>
      </c>
      <c r="D1040" t="s">
        <v>50</v>
      </c>
      <c r="E1040" t="s">
        <v>29</v>
      </c>
      <c r="F1040" t="s">
        <v>62</v>
      </c>
      <c r="G1040">
        <v>1</v>
      </c>
      <c r="H1040">
        <v>220000</v>
      </c>
      <c r="I1040">
        <v>0</v>
      </c>
      <c r="J1040" t="s">
        <v>21</v>
      </c>
      <c r="K1040" s="14">
        <f t="shared" si="16"/>
        <v>220000</v>
      </c>
    </row>
    <row r="1041" spans="1:11">
      <c r="A1041" t="s">
        <v>1122</v>
      </c>
      <c r="B1041" s="2">
        <v>45177</v>
      </c>
      <c r="C1041" t="s">
        <v>46</v>
      </c>
      <c r="D1041" t="s">
        <v>44</v>
      </c>
      <c r="E1041" t="s">
        <v>1290</v>
      </c>
      <c r="F1041" t="s">
        <v>12</v>
      </c>
      <c r="G1041">
        <v>3</v>
      </c>
      <c r="H1041">
        <v>235000</v>
      </c>
      <c r="I1041">
        <v>0</v>
      </c>
      <c r="J1041" t="s">
        <v>16</v>
      </c>
      <c r="K1041" s="14">
        <f t="shared" si="16"/>
        <v>705000</v>
      </c>
    </row>
    <row r="1042" spans="1:11">
      <c r="A1042" t="s">
        <v>1123</v>
      </c>
      <c r="B1042" s="2">
        <v>45014</v>
      </c>
      <c r="C1042" t="s">
        <v>49</v>
      </c>
      <c r="D1042" t="s">
        <v>50</v>
      </c>
      <c r="E1042" t="s">
        <v>29</v>
      </c>
      <c r="F1042" t="s">
        <v>62</v>
      </c>
      <c r="G1042">
        <v>1</v>
      </c>
      <c r="H1042">
        <v>220000</v>
      </c>
      <c r="I1042">
        <v>0</v>
      </c>
      <c r="J1042" t="s">
        <v>41</v>
      </c>
      <c r="K1042" s="14">
        <f t="shared" si="16"/>
        <v>220000</v>
      </c>
    </row>
    <row r="1043" spans="1:11">
      <c r="A1043" t="s">
        <v>1124</v>
      </c>
      <c r="B1043" s="2">
        <v>44991</v>
      </c>
      <c r="C1043" t="s">
        <v>133</v>
      </c>
      <c r="D1043" t="s">
        <v>102</v>
      </c>
      <c r="E1043" t="s">
        <v>11</v>
      </c>
      <c r="F1043" t="s">
        <v>62</v>
      </c>
      <c r="G1043">
        <v>1</v>
      </c>
      <c r="H1043">
        <v>430000</v>
      </c>
      <c r="I1043">
        <v>0</v>
      </c>
      <c r="J1043" t="s">
        <v>1268</v>
      </c>
      <c r="K1043" s="14">
        <f t="shared" si="16"/>
        <v>430000</v>
      </c>
    </row>
    <row r="1044" spans="1:11">
      <c r="A1044" t="s">
        <v>1125</v>
      </c>
      <c r="B1044" s="2">
        <v>45277</v>
      </c>
      <c r="C1044" t="s">
        <v>119</v>
      </c>
      <c r="D1044" t="s">
        <v>120</v>
      </c>
      <c r="E1044" t="s">
        <v>11</v>
      </c>
      <c r="F1044" t="s">
        <v>68</v>
      </c>
      <c r="G1044">
        <v>4</v>
      </c>
      <c r="H1044">
        <v>440000</v>
      </c>
      <c r="I1044">
        <v>0</v>
      </c>
      <c r="J1044" t="s">
        <v>16</v>
      </c>
      <c r="K1044" s="14">
        <f t="shared" si="16"/>
        <v>1760000</v>
      </c>
    </row>
    <row r="1045" spans="1:11">
      <c r="A1045" t="s">
        <v>1126</v>
      </c>
      <c r="B1045" s="2">
        <v>44990</v>
      </c>
      <c r="C1045" t="s">
        <v>101</v>
      </c>
      <c r="D1045" t="s">
        <v>102</v>
      </c>
      <c r="E1045" t="s">
        <v>11</v>
      </c>
      <c r="F1045" t="s">
        <v>12</v>
      </c>
      <c r="G1045">
        <v>1</v>
      </c>
      <c r="H1045">
        <v>430000</v>
      </c>
      <c r="I1045">
        <v>0</v>
      </c>
      <c r="J1045" t="s">
        <v>16</v>
      </c>
      <c r="K1045" s="14">
        <f t="shared" si="16"/>
        <v>430000</v>
      </c>
    </row>
    <row r="1046" spans="1:11">
      <c r="A1046" t="s">
        <v>1127</v>
      </c>
      <c r="B1046" s="2">
        <v>45096</v>
      </c>
      <c r="C1046" t="s">
        <v>31</v>
      </c>
      <c r="D1046" t="s">
        <v>32</v>
      </c>
      <c r="E1046" t="s">
        <v>29</v>
      </c>
      <c r="F1046" t="s">
        <v>68</v>
      </c>
      <c r="G1046">
        <v>2</v>
      </c>
      <c r="H1046">
        <v>215000</v>
      </c>
      <c r="I1046">
        <v>0</v>
      </c>
      <c r="J1046" t="s">
        <v>21</v>
      </c>
      <c r="K1046" s="14">
        <f t="shared" si="16"/>
        <v>430000</v>
      </c>
    </row>
    <row r="1047" spans="1:11">
      <c r="A1047" t="s">
        <v>1128</v>
      </c>
      <c r="B1047" s="2">
        <v>45037</v>
      </c>
      <c r="C1047" t="s">
        <v>18</v>
      </c>
      <c r="D1047" t="s">
        <v>19</v>
      </c>
      <c r="E1047" t="s">
        <v>20</v>
      </c>
      <c r="F1047" t="s">
        <v>12</v>
      </c>
      <c r="G1047">
        <v>2</v>
      </c>
      <c r="H1047">
        <v>265000</v>
      </c>
      <c r="I1047">
        <v>0</v>
      </c>
      <c r="J1047" t="s">
        <v>1268</v>
      </c>
      <c r="K1047" s="14">
        <f t="shared" si="16"/>
        <v>530000</v>
      </c>
    </row>
    <row r="1048" spans="1:11">
      <c r="A1048" t="s">
        <v>283</v>
      </c>
      <c r="B1048" s="2">
        <v>45172</v>
      </c>
      <c r="C1048" t="s">
        <v>34</v>
      </c>
      <c r="D1048" t="s">
        <v>35</v>
      </c>
      <c r="E1048" t="s">
        <v>36</v>
      </c>
      <c r="F1048" t="s">
        <v>12</v>
      </c>
      <c r="G1048">
        <v>2</v>
      </c>
      <c r="H1048">
        <v>198000</v>
      </c>
      <c r="I1048">
        <v>0</v>
      </c>
      <c r="J1048" t="s">
        <v>1268</v>
      </c>
      <c r="K1048" s="14">
        <f t="shared" si="16"/>
        <v>396000</v>
      </c>
    </row>
    <row r="1049" spans="1:11">
      <c r="A1049" t="s">
        <v>1129</v>
      </c>
      <c r="B1049" s="2">
        <v>45224</v>
      </c>
      <c r="C1049" t="s">
        <v>34</v>
      </c>
      <c r="D1049" t="s">
        <v>35</v>
      </c>
      <c r="E1049" t="s">
        <v>36</v>
      </c>
      <c r="F1049" t="s">
        <v>1268</v>
      </c>
      <c r="G1049">
        <v>1</v>
      </c>
      <c r="H1049">
        <v>198000</v>
      </c>
      <c r="I1049">
        <v>0</v>
      </c>
      <c r="J1049" t="s">
        <v>71</v>
      </c>
      <c r="K1049" s="14">
        <f t="shared" si="16"/>
        <v>198000</v>
      </c>
    </row>
    <row r="1050" spans="1:11">
      <c r="A1050" t="s">
        <v>1130</v>
      </c>
      <c r="B1050" s="2">
        <v>45199</v>
      </c>
      <c r="C1050" t="s">
        <v>101</v>
      </c>
      <c r="D1050" t="s">
        <v>102</v>
      </c>
      <c r="E1050" t="s">
        <v>11</v>
      </c>
      <c r="F1050" t="s">
        <v>12</v>
      </c>
      <c r="G1050">
        <v>2</v>
      </c>
      <c r="H1050">
        <v>430000</v>
      </c>
      <c r="I1050">
        <v>0</v>
      </c>
      <c r="J1050" t="s">
        <v>13</v>
      </c>
      <c r="K1050" s="14">
        <f t="shared" si="16"/>
        <v>860000</v>
      </c>
    </row>
    <row r="1051" spans="1:11">
      <c r="A1051" t="s">
        <v>1131</v>
      </c>
      <c r="B1051" s="2">
        <v>45225</v>
      </c>
      <c r="C1051" t="s">
        <v>75</v>
      </c>
      <c r="D1051" t="s">
        <v>32</v>
      </c>
      <c r="E1051" t="s">
        <v>29</v>
      </c>
      <c r="F1051" t="s">
        <v>12</v>
      </c>
      <c r="G1051">
        <v>5</v>
      </c>
      <c r="H1051">
        <v>215000</v>
      </c>
      <c r="I1051">
        <v>10</v>
      </c>
      <c r="J1051" t="s">
        <v>21</v>
      </c>
      <c r="K1051" s="14">
        <f t="shared" si="16"/>
        <v>967500</v>
      </c>
    </row>
    <row r="1052" spans="1:11">
      <c r="A1052" t="s">
        <v>1132</v>
      </c>
      <c r="B1052" s="2">
        <v>45008</v>
      </c>
      <c r="C1052" t="s">
        <v>104</v>
      </c>
      <c r="D1052" t="s">
        <v>105</v>
      </c>
      <c r="E1052" t="s">
        <v>29</v>
      </c>
      <c r="F1052" t="s">
        <v>1268</v>
      </c>
      <c r="G1052">
        <v>1</v>
      </c>
      <c r="H1052">
        <v>210000</v>
      </c>
      <c r="I1052">
        <v>0</v>
      </c>
      <c r="J1052" t="s">
        <v>71</v>
      </c>
      <c r="K1052" s="14">
        <f t="shared" si="16"/>
        <v>210000</v>
      </c>
    </row>
    <row r="1053" spans="1:11">
      <c r="A1053" t="s">
        <v>1133</v>
      </c>
      <c r="B1053" s="2">
        <v>44933</v>
      </c>
      <c r="C1053" t="s">
        <v>133</v>
      </c>
      <c r="D1053" t="s">
        <v>102</v>
      </c>
      <c r="E1053" t="s">
        <v>11</v>
      </c>
      <c r="F1053" t="s">
        <v>62</v>
      </c>
      <c r="G1053">
        <v>2</v>
      </c>
      <c r="H1053">
        <v>430000</v>
      </c>
      <c r="I1053">
        <v>5</v>
      </c>
      <c r="J1053" t="s">
        <v>71</v>
      </c>
      <c r="K1053" s="14">
        <f t="shared" si="16"/>
        <v>817000</v>
      </c>
    </row>
    <row r="1054" spans="1:11">
      <c r="A1054" t="s">
        <v>1134</v>
      </c>
      <c r="B1054" s="2">
        <v>45042</v>
      </c>
      <c r="C1054" t="s">
        <v>122</v>
      </c>
      <c r="D1054" t="s">
        <v>123</v>
      </c>
      <c r="E1054" t="s">
        <v>124</v>
      </c>
      <c r="F1054" t="s">
        <v>12</v>
      </c>
      <c r="G1054">
        <v>2</v>
      </c>
      <c r="H1054">
        <v>228000</v>
      </c>
      <c r="I1054">
        <v>0</v>
      </c>
      <c r="J1054" t="s">
        <v>1268</v>
      </c>
      <c r="K1054" s="14">
        <f t="shared" si="16"/>
        <v>456000</v>
      </c>
    </row>
    <row r="1055" spans="1:11">
      <c r="A1055" t="s">
        <v>1135</v>
      </c>
      <c r="B1055" s="2">
        <v>45084</v>
      </c>
      <c r="C1055" t="s">
        <v>184</v>
      </c>
      <c r="D1055" t="s">
        <v>110</v>
      </c>
      <c r="E1055" t="s">
        <v>66</v>
      </c>
      <c r="F1055" t="s">
        <v>12</v>
      </c>
      <c r="G1055">
        <v>2</v>
      </c>
      <c r="H1055">
        <v>335000</v>
      </c>
      <c r="I1055">
        <v>0</v>
      </c>
      <c r="J1055" t="s">
        <v>1268</v>
      </c>
      <c r="K1055" s="14">
        <f t="shared" si="16"/>
        <v>670000</v>
      </c>
    </row>
    <row r="1056" spans="1:11">
      <c r="A1056" t="s">
        <v>1136</v>
      </c>
      <c r="B1056" s="2">
        <v>44987</v>
      </c>
      <c r="C1056" t="s">
        <v>94</v>
      </c>
      <c r="D1056" t="s">
        <v>50</v>
      </c>
      <c r="E1056" t="s">
        <v>29</v>
      </c>
      <c r="F1056" t="s">
        <v>68</v>
      </c>
      <c r="G1056">
        <v>1</v>
      </c>
      <c r="H1056">
        <v>220000</v>
      </c>
      <c r="I1056">
        <v>0</v>
      </c>
      <c r="J1056" t="s">
        <v>41</v>
      </c>
      <c r="K1056" s="14">
        <f t="shared" si="16"/>
        <v>220000</v>
      </c>
    </row>
    <row r="1057" spans="1:11">
      <c r="A1057" t="s">
        <v>1137</v>
      </c>
      <c r="B1057" s="2">
        <v>45176</v>
      </c>
      <c r="C1057" t="s">
        <v>162</v>
      </c>
      <c r="D1057" t="s">
        <v>56</v>
      </c>
      <c r="E1057" t="s">
        <v>57</v>
      </c>
      <c r="F1057" t="s">
        <v>68</v>
      </c>
      <c r="G1057">
        <v>1</v>
      </c>
      <c r="H1057">
        <v>105000</v>
      </c>
      <c r="I1057">
        <v>10</v>
      </c>
      <c r="J1057" t="s">
        <v>1268</v>
      </c>
      <c r="K1057" s="14">
        <f t="shared" si="16"/>
        <v>94500</v>
      </c>
    </row>
    <row r="1058" spans="1:11">
      <c r="A1058" t="s">
        <v>1138</v>
      </c>
      <c r="B1058" s="2">
        <v>45220</v>
      </c>
      <c r="C1058" t="s">
        <v>88</v>
      </c>
      <c r="D1058" t="s">
        <v>10</v>
      </c>
      <c r="E1058" t="s">
        <v>11</v>
      </c>
      <c r="F1058" t="s">
        <v>62</v>
      </c>
      <c r="G1058">
        <v>4</v>
      </c>
      <c r="H1058">
        <v>420000</v>
      </c>
      <c r="I1058">
        <v>0</v>
      </c>
      <c r="J1058" t="s">
        <v>16</v>
      </c>
      <c r="K1058" s="14">
        <f t="shared" si="16"/>
        <v>1680000</v>
      </c>
    </row>
    <row r="1059" spans="1:11">
      <c r="A1059" t="s">
        <v>1139</v>
      </c>
      <c r="B1059" s="2">
        <v>45049</v>
      </c>
      <c r="C1059" t="s">
        <v>131</v>
      </c>
      <c r="D1059" t="s">
        <v>132</v>
      </c>
      <c r="E1059" t="s">
        <v>20</v>
      </c>
      <c r="F1059" t="s">
        <v>12</v>
      </c>
      <c r="G1059">
        <v>-4</v>
      </c>
      <c r="H1059">
        <v>280000</v>
      </c>
      <c r="I1059">
        <v>0</v>
      </c>
      <c r="J1059" t="s">
        <v>16</v>
      </c>
      <c r="K1059" s="14">
        <f t="shared" si="16"/>
        <v>-1120000</v>
      </c>
    </row>
    <row r="1060" spans="1:11">
      <c r="A1060" t="s">
        <v>1140</v>
      </c>
      <c r="B1060" s="2">
        <v>45093</v>
      </c>
      <c r="C1060" t="s">
        <v>49</v>
      </c>
      <c r="D1060" t="s">
        <v>50</v>
      </c>
      <c r="E1060" t="s">
        <v>29</v>
      </c>
      <c r="F1060" t="s">
        <v>62</v>
      </c>
      <c r="G1060">
        <v>1</v>
      </c>
      <c r="H1060">
        <v>220000</v>
      </c>
      <c r="I1060">
        <v>15</v>
      </c>
      <c r="J1060" t="s">
        <v>16</v>
      </c>
      <c r="K1060" s="14">
        <f t="shared" si="16"/>
        <v>187000</v>
      </c>
    </row>
    <row r="1061" spans="1:11">
      <c r="A1061" t="s">
        <v>1141</v>
      </c>
      <c r="B1061" s="2">
        <v>45083</v>
      </c>
      <c r="C1061" t="s">
        <v>88</v>
      </c>
      <c r="D1061" t="s">
        <v>10</v>
      </c>
      <c r="E1061" t="s">
        <v>11</v>
      </c>
      <c r="F1061" t="s">
        <v>62</v>
      </c>
      <c r="G1061">
        <v>2</v>
      </c>
      <c r="H1061">
        <v>420000</v>
      </c>
      <c r="I1061">
        <v>5</v>
      </c>
      <c r="J1061" t="s">
        <v>16</v>
      </c>
      <c r="K1061" s="14">
        <f t="shared" si="16"/>
        <v>798000</v>
      </c>
    </row>
    <row r="1062" spans="1:11">
      <c r="A1062" t="s">
        <v>1142</v>
      </c>
      <c r="B1062" s="2">
        <v>45231</v>
      </c>
      <c r="C1062" t="s">
        <v>131</v>
      </c>
      <c r="D1062" t="s">
        <v>132</v>
      </c>
      <c r="E1062" t="s">
        <v>20</v>
      </c>
      <c r="F1062" t="s">
        <v>12</v>
      </c>
      <c r="G1062">
        <v>2</v>
      </c>
      <c r="H1062">
        <v>280000</v>
      </c>
      <c r="I1062">
        <v>15</v>
      </c>
      <c r="J1062" t="s">
        <v>21</v>
      </c>
      <c r="K1062" s="14">
        <f t="shared" si="16"/>
        <v>476000</v>
      </c>
    </row>
    <row r="1063" spans="1:11">
      <c r="A1063" t="s">
        <v>1143</v>
      </c>
      <c r="B1063" s="2">
        <v>45119</v>
      </c>
      <c r="C1063" t="s">
        <v>15</v>
      </c>
      <c r="D1063" t="s">
        <v>10</v>
      </c>
      <c r="E1063" t="s">
        <v>11</v>
      </c>
      <c r="F1063" t="s">
        <v>68</v>
      </c>
      <c r="G1063">
        <v>1</v>
      </c>
      <c r="H1063">
        <v>420000</v>
      </c>
      <c r="I1063">
        <v>5</v>
      </c>
      <c r="J1063" t="s">
        <v>16</v>
      </c>
      <c r="K1063" s="14">
        <f t="shared" si="16"/>
        <v>399000</v>
      </c>
    </row>
    <row r="1064" spans="1:11">
      <c r="A1064" t="s">
        <v>1144</v>
      </c>
      <c r="B1064" s="2">
        <v>45169</v>
      </c>
      <c r="C1064" t="s">
        <v>70</v>
      </c>
      <c r="D1064" t="s">
        <v>65</v>
      </c>
      <c r="E1064" t="s">
        <v>66</v>
      </c>
      <c r="F1064" t="s">
        <v>12</v>
      </c>
      <c r="G1064">
        <v>1</v>
      </c>
      <c r="H1064">
        <v>295000</v>
      </c>
      <c r="I1064">
        <v>10</v>
      </c>
      <c r="J1064" t="s">
        <v>41</v>
      </c>
      <c r="K1064" s="14">
        <f t="shared" si="16"/>
        <v>265500</v>
      </c>
    </row>
    <row r="1065" spans="1:11">
      <c r="A1065" t="s">
        <v>1145</v>
      </c>
      <c r="B1065" s="2">
        <v>45061</v>
      </c>
      <c r="C1065" t="s">
        <v>23</v>
      </c>
      <c r="D1065" t="s">
        <v>24</v>
      </c>
      <c r="E1065" t="s">
        <v>25</v>
      </c>
      <c r="F1065" t="s">
        <v>12</v>
      </c>
      <c r="G1065">
        <v>2</v>
      </c>
      <c r="H1065">
        <v>182000</v>
      </c>
      <c r="I1065">
        <v>5</v>
      </c>
      <c r="J1065" t="s">
        <v>21</v>
      </c>
      <c r="K1065" s="14">
        <f t="shared" si="16"/>
        <v>345800</v>
      </c>
    </row>
    <row r="1066" spans="1:11">
      <c r="A1066" t="s">
        <v>1146</v>
      </c>
      <c r="B1066" s="2">
        <v>45033</v>
      </c>
      <c r="C1066" t="s">
        <v>228</v>
      </c>
      <c r="D1066" t="s">
        <v>50</v>
      </c>
      <c r="E1066" t="s">
        <v>29</v>
      </c>
      <c r="F1066" t="s">
        <v>12</v>
      </c>
      <c r="G1066">
        <v>2</v>
      </c>
      <c r="H1066">
        <v>220000</v>
      </c>
      <c r="I1066">
        <v>5</v>
      </c>
      <c r="J1066" t="s">
        <v>16</v>
      </c>
      <c r="K1066" s="14">
        <f t="shared" ref="K1066:K1129" si="17">G1066*H1066*(1-I1066/100)</f>
        <v>418000</v>
      </c>
    </row>
    <row r="1067" spans="1:11">
      <c r="A1067" t="s">
        <v>1147</v>
      </c>
      <c r="B1067" s="2">
        <v>45174</v>
      </c>
      <c r="C1067" t="s">
        <v>82</v>
      </c>
      <c r="D1067" t="s">
        <v>83</v>
      </c>
      <c r="E1067" t="s">
        <v>84</v>
      </c>
      <c r="F1067" t="s">
        <v>68</v>
      </c>
      <c r="G1067">
        <v>2</v>
      </c>
      <c r="H1067">
        <v>395000</v>
      </c>
      <c r="I1067">
        <v>0</v>
      </c>
      <c r="J1067" t="s">
        <v>71</v>
      </c>
      <c r="K1067" s="14">
        <f t="shared" si="17"/>
        <v>790000</v>
      </c>
    </row>
    <row r="1068" spans="1:11">
      <c r="A1068" t="s">
        <v>1148</v>
      </c>
      <c r="B1068" s="2">
        <v>45248</v>
      </c>
      <c r="C1068" t="s">
        <v>250</v>
      </c>
      <c r="D1068" t="s">
        <v>53</v>
      </c>
      <c r="E1068" t="s">
        <v>36</v>
      </c>
      <c r="F1068" t="s">
        <v>62</v>
      </c>
      <c r="G1068">
        <v>1</v>
      </c>
      <c r="H1068">
        <v>195000</v>
      </c>
      <c r="I1068">
        <v>0</v>
      </c>
      <c r="J1068" t="s">
        <v>13</v>
      </c>
      <c r="K1068" s="14">
        <f t="shared" si="17"/>
        <v>195000</v>
      </c>
    </row>
    <row r="1069" spans="1:11">
      <c r="A1069" t="s">
        <v>1149</v>
      </c>
      <c r="B1069" s="2">
        <v>45268</v>
      </c>
      <c r="C1069" t="s">
        <v>15</v>
      </c>
      <c r="D1069" t="s">
        <v>10</v>
      </c>
      <c r="E1069" t="s">
        <v>11</v>
      </c>
      <c r="F1069" t="s">
        <v>68</v>
      </c>
      <c r="G1069">
        <v>2</v>
      </c>
      <c r="H1069">
        <v>420000</v>
      </c>
      <c r="I1069">
        <v>0</v>
      </c>
      <c r="J1069" t="s">
        <v>71</v>
      </c>
      <c r="K1069" s="14">
        <f t="shared" si="17"/>
        <v>840000</v>
      </c>
    </row>
    <row r="1070" spans="1:11">
      <c r="A1070" t="s">
        <v>1150</v>
      </c>
      <c r="B1070" s="2">
        <v>45070</v>
      </c>
      <c r="C1070" t="s">
        <v>139</v>
      </c>
      <c r="D1070" t="s">
        <v>61</v>
      </c>
      <c r="E1070" t="s">
        <v>20</v>
      </c>
      <c r="F1070" t="s">
        <v>12</v>
      </c>
      <c r="G1070">
        <v>4</v>
      </c>
      <c r="H1070">
        <v>260000</v>
      </c>
      <c r="I1070">
        <v>0</v>
      </c>
      <c r="J1070" t="s">
        <v>16</v>
      </c>
      <c r="K1070" s="14">
        <f t="shared" si="17"/>
        <v>1040000</v>
      </c>
    </row>
    <row r="1071" spans="1:11">
      <c r="A1071" t="s">
        <v>1151</v>
      </c>
      <c r="B1071" s="2">
        <v>45120</v>
      </c>
      <c r="C1071" t="s">
        <v>27</v>
      </c>
      <c r="D1071" t="s">
        <v>28</v>
      </c>
      <c r="E1071" t="s">
        <v>29</v>
      </c>
      <c r="F1071" t="s">
        <v>12</v>
      </c>
      <c r="G1071">
        <v>3</v>
      </c>
      <c r="H1071">
        <v>210000</v>
      </c>
      <c r="I1071">
        <v>5</v>
      </c>
      <c r="J1071" t="s">
        <v>16</v>
      </c>
      <c r="K1071" s="14">
        <f t="shared" si="17"/>
        <v>598500</v>
      </c>
    </row>
    <row r="1072" spans="1:11">
      <c r="A1072" t="s">
        <v>1152</v>
      </c>
      <c r="B1072" s="2">
        <v>44977</v>
      </c>
      <c r="C1072" t="s">
        <v>82</v>
      </c>
      <c r="D1072" t="s">
        <v>83</v>
      </c>
      <c r="E1072" t="s">
        <v>84</v>
      </c>
      <c r="F1072" t="s">
        <v>68</v>
      </c>
      <c r="G1072">
        <v>1</v>
      </c>
      <c r="H1072">
        <v>395000</v>
      </c>
      <c r="I1072">
        <v>15</v>
      </c>
      <c r="J1072" t="s">
        <v>16</v>
      </c>
      <c r="K1072" s="14">
        <f t="shared" si="17"/>
        <v>335750</v>
      </c>
    </row>
    <row r="1073" spans="1:11">
      <c r="A1073" t="s">
        <v>1153</v>
      </c>
      <c r="B1073" s="2">
        <v>45036</v>
      </c>
      <c r="C1073" t="s">
        <v>96</v>
      </c>
      <c r="D1073" t="s">
        <v>97</v>
      </c>
      <c r="E1073" t="s">
        <v>98</v>
      </c>
      <c r="F1073" t="s">
        <v>12</v>
      </c>
      <c r="G1073">
        <v>1</v>
      </c>
      <c r="H1073">
        <v>170000</v>
      </c>
      <c r="I1073">
        <v>0</v>
      </c>
      <c r="J1073" t="s">
        <v>21</v>
      </c>
      <c r="K1073" s="14">
        <f t="shared" si="17"/>
        <v>170000</v>
      </c>
    </row>
    <row r="1074" spans="1:11">
      <c r="A1074" t="s">
        <v>1154</v>
      </c>
      <c r="B1074" s="2">
        <v>44998</v>
      </c>
      <c r="C1074" t="s">
        <v>133</v>
      </c>
      <c r="D1074" t="s">
        <v>102</v>
      </c>
      <c r="E1074" t="s">
        <v>11</v>
      </c>
      <c r="F1074" t="s">
        <v>62</v>
      </c>
      <c r="G1074">
        <v>1</v>
      </c>
      <c r="H1074">
        <v>430000</v>
      </c>
      <c r="I1074">
        <v>0</v>
      </c>
      <c r="J1074" t="s">
        <v>21</v>
      </c>
      <c r="K1074" s="14">
        <f t="shared" si="17"/>
        <v>430000</v>
      </c>
    </row>
    <row r="1075" spans="1:11">
      <c r="A1075" t="s">
        <v>1155</v>
      </c>
      <c r="B1075" s="2">
        <v>44977</v>
      </c>
      <c r="C1075" t="s">
        <v>70</v>
      </c>
      <c r="D1075" t="s">
        <v>65</v>
      </c>
      <c r="E1075" t="s">
        <v>66</v>
      </c>
      <c r="F1075" t="s">
        <v>12</v>
      </c>
      <c r="G1075">
        <v>5</v>
      </c>
      <c r="H1075">
        <v>295000</v>
      </c>
      <c r="I1075">
        <v>0</v>
      </c>
      <c r="J1075" t="s">
        <v>16</v>
      </c>
      <c r="K1075" s="14">
        <f t="shared" si="17"/>
        <v>1475000</v>
      </c>
    </row>
    <row r="1076" spans="1:11">
      <c r="A1076" t="s">
        <v>1156</v>
      </c>
      <c r="B1076" s="2">
        <v>44994</v>
      </c>
      <c r="C1076" t="s">
        <v>250</v>
      </c>
      <c r="D1076" t="s">
        <v>53</v>
      </c>
      <c r="E1076" t="s">
        <v>36</v>
      </c>
      <c r="F1076" t="s">
        <v>62</v>
      </c>
      <c r="G1076">
        <v>3</v>
      </c>
      <c r="H1076">
        <v>195000</v>
      </c>
      <c r="I1076">
        <v>0</v>
      </c>
      <c r="J1076" t="s">
        <v>41</v>
      </c>
      <c r="K1076" s="14">
        <f t="shared" si="17"/>
        <v>585000</v>
      </c>
    </row>
    <row r="1077" spans="1:11">
      <c r="A1077" t="s">
        <v>1157</v>
      </c>
      <c r="B1077" s="2">
        <v>45154</v>
      </c>
      <c r="C1077" t="s">
        <v>153</v>
      </c>
      <c r="D1077" t="s">
        <v>83</v>
      </c>
      <c r="E1077" t="s">
        <v>84</v>
      </c>
      <c r="F1077" t="s">
        <v>12</v>
      </c>
      <c r="G1077">
        <v>4</v>
      </c>
      <c r="H1077">
        <v>395000</v>
      </c>
      <c r="I1077">
        <v>0</v>
      </c>
      <c r="J1077" t="s">
        <v>16</v>
      </c>
      <c r="K1077" s="14">
        <f t="shared" si="17"/>
        <v>1580000</v>
      </c>
    </row>
    <row r="1078" spans="1:11">
      <c r="A1078" t="s">
        <v>1158</v>
      </c>
      <c r="B1078" s="2">
        <v>45236</v>
      </c>
      <c r="C1078" t="s">
        <v>43</v>
      </c>
      <c r="D1078" t="s">
        <v>44</v>
      </c>
      <c r="E1078" t="s">
        <v>29</v>
      </c>
      <c r="F1078" t="s">
        <v>68</v>
      </c>
      <c r="G1078">
        <v>-4</v>
      </c>
      <c r="H1078">
        <v>235000</v>
      </c>
      <c r="I1078">
        <v>0</v>
      </c>
      <c r="J1078" t="s">
        <v>16</v>
      </c>
      <c r="K1078" s="14">
        <f t="shared" si="17"/>
        <v>-940000</v>
      </c>
    </row>
    <row r="1079" spans="1:11">
      <c r="A1079" t="s">
        <v>1159</v>
      </c>
      <c r="B1079" s="2">
        <v>45281</v>
      </c>
      <c r="C1079" t="s">
        <v>96</v>
      </c>
      <c r="D1079" t="s">
        <v>97</v>
      </c>
      <c r="E1079" t="s">
        <v>98</v>
      </c>
      <c r="F1079" t="s">
        <v>12</v>
      </c>
      <c r="G1079">
        <v>1</v>
      </c>
      <c r="H1079">
        <v>170000</v>
      </c>
      <c r="I1079">
        <v>0</v>
      </c>
      <c r="J1079" t="s">
        <v>1268</v>
      </c>
      <c r="K1079" s="14">
        <f t="shared" si="17"/>
        <v>170000</v>
      </c>
    </row>
    <row r="1080" spans="1:11">
      <c r="A1080" t="s">
        <v>1160</v>
      </c>
      <c r="B1080" s="2">
        <v>45232</v>
      </c>
      <c r="C1080" t="s">
        <v>228</v>
      </c>
      <c r="D1080" t="s">
        <v>50</v>
      </c>
      <c r="E1080" t="s">
        <v>29</v>
      </c>
      <c r="F1080" t="s">
        <v>12</v>
      </c>
      <c r="G1080">
        <v>1</v>
      </c>
      <c r="H1080">
        <v>220000</v>
      </c>
      <c r="I1080">
        <v>0</v>
      </c>
      <c r="J1080" t="s">
        <v>16</v>
      </c>
      <c r="K1080" s="14">
        <f t="shared" si="17"/>
        <v>220000</v>
      </c>
    </row>
    <row r="1081" spans="1:11">
      <c r="A1081" t="s">
        <v>1161</v>
      </c>
      <c r="B1081" s="2">
        <v>45229</v>
      </c>
      <c r="C1081" t="s">
        <v>15</v>
      </c>
      <c r="D1081" t="s">
        <v>10</v>
      </c>
      <c r="E1081" t="s">
        <v>11</v>
      </c>
      <c r="F1081" t="s">
        <v>68</v>
      </c>
      <c r="G1081">
        <v>1</v>
      </c>
      <c r="H1081">
        <v>420000</v>
      </c>
      <c r="I1081">
        <v>20</v>
      </c>
      <c r="J1081" t="s">
        <v>16</v>
      </c>
      <c r="K1081" s="14">
        <f t="shared" si="17"/>
        <v>336000</v>
      </c>
    </row>
    <row r="1082" spans="1:11">
      <c r="A1082" t="s">
        <v>1162</v>
      </c>
      <c r="B1082" s="2">
        <v>44974</v>
      </c>
      <c r="C1082" t="s">
        <v>15</v>
      </c>
      <c r="D1082" t="s">
        <v>10</v>
      </c>
      <c r="E1082" t="s">
        <v>11</v>
      </c>
      <c r="F1082" t="s">
        <v>68</v>
      </c>
      <c r="G1082">
        <v>3</v>
      </c>
      <c r="H1082">
        <v>420000</v>
      </c>
      <c r="I1082">
        <v>0</v>
      </c>
      <c r="J1082" t="s">
        <v>41</v>
      </c>
      <c r="K1082" s="14">
        <f t="shared" si="17"/>
        <v>1260000</v>
      </c>
    </row>
    <row r="1083" spans="1:11">
      <c r="A1083" t="s">
        <v>1163</v>
      </c>
      <c r="B1083" s="2">
        <v>45267</v>
      </c>
      <c r="C1083" t="s">
        <v>43</v>
      </c>
      <c r="D1083" t="s">
        <v>44</v>
      </c>
      <c r="E1083" t="s">
        <v>29</v>
      </c>
      <c r="F1083" t="s">
        <v>68</v>
      </c>
      <c r="G1083">
        <v>2</v>
      </c>
      <c r="H1083">
        <v>235000</v>
      </c>
      <c r="I1083">
        <v>0</v>
      </c>
      <c r="J1083" t="s">
        <v>41</v>
      </c>
      <c r="K1083" s="14">
        <f t="shared" si="17"/>
        <v>470000</v>
      </c>
    </row>
    <row r="1084" spans="1:11">
      <c r="A1084" t="s">
        <v>1164</v>
      </c>
      <c r="B1084" s="2">
        <v>45027</v>
      </c>
      <c r="C1084" t="s">
        <v>82</v>
      </c>
      <c r="D1084" t="s">
        <v>83</v>
      </c>
      <c r="E1084" t="s">
        <v>84</v>
      </c>
      <c r="F1084" t="s">
        <v>68</v>
      </c>
      <c r="G1084">
        <v>2</v>
      </c>
      <c r="H1084">
        <v>395000</v>
      </c>
      <c r="I1084">
        <v>5</v>
      </c>
      <c r="J1084" t="s">
        <v>41</v>
      </c>
      <c r="K1084" s="14">
        <f t="shared" si="17"/>
        <v>750500</v>
      </c>
    </row>
    <row r="1085" spans="1:11">
      <c r="A1085" t="s">
        <v>1165</v>
      </c>
      <c r="B1085" s="2">
        <v>45061</v>
      </c>
      <c r="C1085" t="s">
        <v>55</v>
      </c>
      <c r="D1085" t="s">
        <v>56</v>
      </c>
      <c r="E1085" t="s">
        <v>57</v>
      </c>
      <c r="F1085" t="s">
        <v>62</v>
      </c>
      <c r="G1085">
        <v>-2</v>
      </c>
      <c r="H1085">
        <v>105000</v>
      </c>
      <c r="I1085">
        <v>0</v>
      </c>
      <c r="J1085" t="s">
        <v>21</v>
      </c>
      <c r="K1085" s="14">
        <f t="shared" si="17"/>
        <v>-210000</v>
      </c>
    </row>
    <row r="1086" spans="1:11">
      <c r="A1086" t="s">
        <v>1166</v>
      </c>
      <c r="B1086" s="2">
        <v>45214</v>
      </c>
      <c r="C1086" t="s">
        <v>49</v>
      </c>
      <c r="D1086" t="s">
        <v>50</v>
      </c>
      <c r="E1086" t="s">
        <v>29</v>
      </c>
      <c r="F1086" t="s">
        <v>62</v>
      </c>
      <c r="G1086">
        <v>4</v>
      </c>
      <c r="H1086">
        <v>220000</v>
      </c>
      <c r="I1086">
        <v>5</v>
      </c>
      <c r="J1086" t="s">
        <v>16</v>
      </c>
      <c r="K1086" s="14">
        <f t="shared" si="17"/>
        <v>836000</v>
      </c>
    </row>
    <row r="1087" spans="1:11">
      <c r="A1087" t="s">
        <v>764</v>
      </c>
      <c r="B1087" s="2">
        <v>44975</v>
      </c>
      <c r="C1087" t="s">
        <v>31</v>
      </c>
      <c r="D1087" t="s">
        <v>32</v>
      </c>
      <c r="E1087" t="s">
        <v>29</v>
      </c>
      <c r="F1087" t="s">
        <v>68</v>
      </c>
      <c r="G1087">
        <v>4</v>
      </c>
      <c r="H1087">
        <v>215000</v>
      </c>
      <c r="I1087">
        <v>0</v>
      </c>
      <c r="J1087" t="s">
        <v>41</v>
      </c>
      <c r="K1087" s="14">
        <f t="shared" si="17"/>
        <v>860000</v>
      </c>
    </row>
    <row r="1088" spans="1:11">
      <c r="A1088" t="s">
        <v>1167</v>
      </c>
      <c r="B1088" s="2">
        <v>45122</v>
      </c>
      <c r="C1088" t="s">
        <v>96</v>
      </c>
      <c r="D1088" t="s">
        <v>97</v>
      </c>
      <c r="E1088" t="s">
        <v>98</v>
      </c>
      <c r="F1088" t="s">
        <v>12</v>
      </c>
      <c r="G1088">
        <v>1</v>
      </c>
      <c r="H1088">
        <v>170000</v>
      </c>
      <c r="I1088">
        <v>15</v>
      </c>
      <c r="J1088" t="s">
        <v>21</v>
      </c>
      <c r="K1088" s="14">
        <f t="shared" si="17"/>
        <v>144500</v>
      </c>
    </row>
    <row r="1089" spans="1:11">
      <c r="A1089" t="s">
        <v>1168</v>
      </c>
      <c r="B1089" s="2">
        <v>45083</v>
      </c>
      <c r="C1089" t="s">
        <v>104</v>
      </c>
      <c r="D1089" t="s">
        <v>105</v>
      </c>
      <c r="E1089" t="s">
        <v>29</v>
      </c>
      <c r="F1089" t="s">
        <v>12</v>
      </c>
      <c r="G1089">
        <v>3</v>
      </c>
      <c r="H1089">
        <v>210000</v>
      </c>
      <c r="I1089">
        <v>0</v>
      </c>
      <c r="J1089" t="s">
        <v>21</v>
      </c>
      <c r="K1089" s="14">
        <f t="shared" si="17"/>
        <v>630000</v>
      </c>
    </row>
    <row r="1090" spans="1:11">
      <c r="A1090" t="s">
        <v>1169</v>
      </c>
      <c r="B1090" s="2">
        <v>45193</v>
      </c>
      <c r="C1090" t="s">
        <v>162</v>
      </c>
      <c r="D1090" t="s">
        <v>56</v>
      </c>
      <c r="E1090" t="s">
        <v>57</v>
      </c>
      <c r="F1090" t="s">
        <v>68</v>
      </c>
      <c r="G1090">
        <v>1</v>
      </c>
      <c r="H1090">
        <v>105000</v>
      </c>
      <c r="I1090">
        <v>5</v>
      </c>
      <c r="J1090" t="s">
        <v>16</v>
      </c>
      <c r="K1090" s="14">
        <f t="shared" si="17"/>
        <v>99750</v>
      </c>
    </row>
    <row r="1091" spans="1:11">
      <c r="A1091" t="s">
        <v>1170</v>
      </c>
      <c r="B1091" s="2">
        <v>45178</v>
      </c>
      <c r="C1091" t="s">
        <v>144</v>
      </c>
      <c r="D1091" t="s">
        <v>142</v>
      </c>
      <c r="E1091" t="s">
        <v>66</v>
      </c>
      <c r="F1091" t="s">
        <v>12</v>
      </c>
      <c r="G1091">
        <v>1</v>
      </c>
      <c r="H1091">
        <v>330000</v>
      </c>
      <c r="I1091">
        <v>10</v>
      </c>
      <c r="J1091" t="s">
        <v>16</v>
      </c>
      <c r="K1091" s="14">
        <f t="shared" si="17"/>
        <v>297000</v>
      </c>
    </row>
    <row r="1092" spans="1:11">
      <c r="A1092" t="s">
        <v>1171</v>
      </c>
      <c r="B1092" s="2">
        <v>45198</v>
      </c>
      <c r="C1092" t="s">
        <v>64</v>
      </c>
      <c r="D1092" t="s">
        <v>65</v>
      </c>
      <c r="E1092" t="s">
        <v>66</v>
      </c>
      <c r="F1092" t="s">
        <v>62</v>
      </c>
      <c r="G1092">
        <v>-3</v>
      </c>
      <c r="H1092">
        <v>295000</v>
      </c>
      <c r="I1092">
        <v>0</v>
      </c>
      <c r="J1092" t="s">
        <v>16</v>
      </c>
      <c r="K1092" s="14">
        <f t="shared" si="17"/>
        <v>-885000</v>
      </c>
    </row>
    <row r="1093" spans="1:11">
      <c r="A1093" t="s">
        <v>1172</v>
      </c>
      <c r="B1093" s="2">
        <v>45066</v>
      </c>
      <c r="C1093" t="s">
        <v>55</v>
      </c>
      <c r="D1093" t="s">
        <v>56</v>
      </c>
      <c r="E1093" t="s">
        <v>57</v>
      </c>
      <c r="F1093" t="s">
        <v>62</v>
      </c>
      <c r="G1093">
        <v>2</v>
      </c>
      <c r="H1093">
        <v>105000</v>
      </c>
      <c r="I1093">
        <v>0</v>
      </c>
      <c r="J1093" t="s">
        <v>21</v>
      </c>
      <c r="K1093" s="14">
        <f t="shared" si="17"/>
        <v>210000</v>
      </c>
    </row>
    <row r="1094" spans="1:11">
      <c r="A1094" t="s">
        <v>1173</v>
      </c>
      <c r="B1094" s="2">
        <v>45093</v>
      </c>
      <c r="C1094" t="s">
        <v>49</v>
      </c>
      <c r="D1094" t="s">
        <v>50</v>
      </c>
      <c r="E1094" t="s">
        <v>29</v>
      </c>
      <c r="F1094" t="s">
        <v>62</v>
      </c>
      <c r="G1094">
        <v>1</v>
      </c>
      <c r="H1094">
        <v>220000</v>
      </c>
      <c r="I1094">
        <v>0</v>
      </c>
      <c r="J1094" t="s">
        <v>16</v>
      </c>
      <c r="K1094" s="14">
        <f t="shared" si="17"/>
        <v>220000</v>
      </c>
    </row>
    <row r="1095" spans="1:11">
      <c r="A1095" t="s">
        <v>859</v>
      </c>
      <c r="B1095" s="2">
        <v>45000</v>
      </c>
      <c r="C1095" t="s">
        <v>70</v>
      </c>
      <c r="D1095" t="s">
        <v>65</v>
      </c>
      <c r="E1095" t="s">
        <v>66</v>
      </c>
      <c r="F1095" t="s">
        <v>12</v>
      </c>
      <c r="G1095">
        <v>1</v>
      </c>
      <c r="H1095">
        <v>295000</v>
      </c>
      <c r="I1095">
        <v>0</v>
      </c>
      <c r="J1095" t="s">
        <v>16</v>
      </c>
      <c r="K1095" s="14">
        <f t="shared" si="17"/>
        <v>295000</v>
      </c>
    </row>
    <row r="1096" spans="1:11">
      <c r="A1096" t="s">
        <v>1174</v>
      </c>
      <c r="B1096" s="2">
        <v>45018</v>
      </c>
      <c r="C1096" t="s">
        <v>52</v>
      </c>
      <c r="D1096" t="s">
        <v>53</v>
      </c>
      <c r="E1096" t="s">
        <v>1293</v>
      </c>
      <c r="F1096" t="s">
        <v>12</v>
      </c>
      <c r="G1096">
        <v>2</v>
      </c>
      <c r="H1096">
        <v>195000</v>
      </c>
      <c r="I1096">
        <v>0</v>
      </c>
      <c r="J1096" t="s">
        <v>16</v>
      </c>
      <c r="K1096" s="14">
        <f t="shared" si="17"/>
        <v>390000</v>
      </c>
    </row>
    <row r="1097" spans="1:11">
      <c r="A1097" t="s">
        <v>1175</v>
      </c>
      <c r="B1097" s="2">
        <v>45286</v>
      </c>
      <c r="C1097" t="s">
        <v>228</v>
      </c>
      <c r="D1097" t="s">
        <v>50</v>
      </c>
      <c r="E1097" t="s">
        <v>29</v>
      </c>
      <c r="F1097" t="s">
        <v>12</v>
      </c>
      <c r="G1097">
        <v>1</v>
      </c>
      <c r="H1097">
        <v>220000</v>
      </c>
      <c r="I1097">
        <v>0</v>
      </c>
      <c r="J1097" t="s">
        <v>21</v>
      </c>
      <c r="K1097" s="14">
        <f t="shared" si="17"/>
        <v>220000</v>
      </c>
    </row>
    <row r="1098" spans="1:11">
      <c r="A1098" t="s">
        <v>1176</v>
      </c>
      <c r="B1098" s="2">
        <v>44998</v>
      </c>
      <c r="C1098" t="s">
        <v>27</v>
      </c>
      <c r="D1098" t="s">
        <v>28</v>
      </c>
      <c r="E1098" t="s">
        <v>29</v>
      </c>
      <c r="F1098" t="s">
        <v>12</v>
      </c>
      <c r="G1098">
        <v>1</v>
      </c>
      <c r="H1098">
        <v>210000</v>
      </c>
      <c r="I1098">
        <v>0</v>
      </c>
      <c r="J1098" t="s">
        <v>21</v>
      </c>
      <c r="K1098" s="14">
        <f t="shared" si="17"/>
        <v>210000</v>
      </c>
    </row>
    <row r="1099" spans="1:11">
      <c r="A1099" t="s">
        <v>1177</v>
      </c>
      <c r="B1099" s="2">
        <v>44953</v>
      </c>
      <c r="C1099" t="s">
        <v>46</v>
      </c>
      <c r="D1099" t="s">
        <v>44</v>
      </c>
      <c r="E1099" t="s">
        <v>1290</v>
      </c>
      <c r="F1099" t="s">
        <v>12</v>
      </c>
      <c r="G1099">
        <v>1</v>
      </c>
      <c r="H1099">
        <v>235000</v>
      </c>
      <c r="I1099">
        <v>20</v>
      </c>
      <c r="J1099" t="s">
        <v>71</v>
      </c>
      <c r="K1099" s="14">
        <f t="shared" si="17"/>
        <v>188000</v>
      </c>
    </row>
    <row r="1100" spans="1:11">
      <c r="A1100" t="s">
        <v>1178</v>
      </c>
      <c r="B1100" s="2">
        <v>45281</v>
      </c>
      <c r="C1100" t="s">
        <v>299</v>
      </c>
      <c r="D1100" t="s">
        <v>120</v>
      </c>
      <c r="E1100" t="s">
        <v>11</v>
      </c>
      <c r="F1100" t="s">
        <v>12</v>
      </c>
      <c r="G1100">
        <v>1</v>
      </c>
      <c r="H1100">
        <v>440000</v>
      </c>
      <c r="I1100">
        <v>10</v>
      </c>
      <c r="J1100" t="s">
        <v>21</v>
      </c>
      <c r="K1100" s="14">
        <f t="shared" si="17"/>
        <v>396000</v>
      </c>
    </row>
    <row r="1101" spans="1:11">
      <c r="A1101" t="s">
        <v>1179</v>
      </c>
      <c r="B1101" s="2">
        <v>45017</v>
      </c>
      <c r="C1101" t="s">
        <v>18</v>
      </c>
      <c r="D1101" t="s">
        <v>19</v>
      </c>
      <c r="E1101" t="s">
        <v>20</v>
      </c>
      <c r="F1101" t="s">
        <v>12</v>
      </c>
      <c r="G1101">
        <v>1</v>
      </c>
      <c r="H1101">
        <v>265000</v>
      </c>
      <c r="I1101">
        <v>0</v>
      </c>
      <c r="J1101" t="s">
        <v>41</v>
      </c>
      <c r="K1101" s="14">
        <f t="shared" si="17"/>
        <v>265000</v>
      </c>
    </row>
    <row r="1102" spans="1:11">
      <c r="A1102" t="s">
        <v>1180</v>
      </c>
      <c r="B1102" s="2">
        <v>44963</v>
      </c>
      <c r="C1102" t="s">
        <v>60</v>
      </c>
      <c r="D1102" t="s">
        <v>61</v>
      </c>
      <c r="E1102" t="s">
        <v>20</v>
      </c>
      <c r="F1102" t="s">
        <v>62</v>
      </c>
      <c r="G1102">
        <v>3</v>
      </c>
      <c r="H1102">
        <v>260000</v>
      </c>
      <c r="I1102">
        <v>0</v>
      </c>
      <c r="J1102" t="s">
        <v>16</v>
      </c>
      <c r="K1102" s="14">
        <f t="shared" si="17"/>
        <v>780000</v>
      </c>
    </row>
    <row r="1103" spans="1:11">
      <c r="A1103" t="s">
        <v>1181</v>
      </c>
      <c r="B1103" s="2">
        <v>44960</v>
      </c>
      <c r="C1103" t="s">
        <v>228</v>
      </c>
      <c r="D1103" t="s">
        <v>50</v>
      </c>
      <c r="E1103" t="s">
        <v>29</v>
      </c>
      <c r="F1103" t="s">
        <v>12</v>
      </c>
      <c r="G1103">
        <v>1</v>
      </c>
      <c r="H1103">
        <v>220000</v>
      </c>
      <c r="I1103">
        <v>10</v>
      </c>
      <c r="J1103" t="s">
        <v>41</v>
      </c>
      <c r="K1103" s="14">
        <f t="shared" si="17"/>
        <v>198000</v>
      </c>
    </row>
    <row r="1104" spans="1:11">
      <c r="A1104" t="s">
        <v>1182</v>
      </c>
      <c r="B1104" s="2">
        <v>45172</v>
      </c>
      <c r="C1104" t="s">
        <v>31</v>
      </c>
      <c r="D1104" t="s">
        <v>32</v>
      </c>
      <c r="E1104" t="s">
        <v>29</v>
      </c>
      <c r="F1104" t="s">
        <v>68</v>
      </c>
      <c r="G1104">
        <v>1</v>
      </c>
      <c r="H1104">
        <v>215000</v>
      </c>
      <c r="I1104">
        <v>0</v>
      </c>
      <c r="J1104" t="s">
        <v>13</v>
      </c>
      <c r="K1104" s="14">
        <f t="shared" si="17"/>
        <v>215000</v>
      </c>
    </row>
    <row r="1105" spans="1:11">
      <c r="A1105" t="s">
        <v>1183</v>
      </c>
      <c r="B1105" s="2">
        <v>45047</v>
      </c>
      <c r="C1105" t="s">
        <v>122</v>
      </c>
      <c r="D1105" t="s">
        <v>123</v>
      </c>
      <c r="E1105" t="s">
        <v>124</v>
      </c>
      <c r="F1105" t="s">
        <v>12</v>
      </c>
      <c r="G1105">
        <v>1</v>
      </c>
      <c r="H1105">
        <v>228000</v>
      </c>
      <c r="I1105">
        <v>0</v>
      </c>
      <c r="J1105" t="s">
        <v>16</v>
      </c>
      <c r="K1105" s="14">
        <f t="shared" si="17"/>
        <v>228000</v>
      </c>
    </row>
    <row r="1106" spans="1:11">
      <c r="A1106" t="s">
        <v>1184</v>
      </c>
      <c r="B1106" s="2">
        <v>45109</v>
      </c>
      <c r="C1106" t="s">
        <v>215</v>
      </c>
      <c r="D1106" t="s">
        <v>10</v>
      </c>
      <c r="E1106" t="s">
        <v>11</v>
      </c>
      <c r="F1106" t="s">
        <v>12</v>
      </c>
      <c r="G1106">
        <v>1</v>
      </c>
      <c r="H1106">
        <v>420000</v>
      </c>
      <c r="I1106">
        <v>0</v>
      </c>
      <c r="J1106" t="s">
        <v>1268</v>
      </c>
      <c r="K1106" s="14">
        <f t="shared" si="17"/>
        <v>420000</v>
      </c>
    </row>
    <row r="1107" spans="1:11">
      <c r="A1107" t="s">
        <v>1185</v>
      </c>
      <c r="B1107" s="2">
        <v>45284</v>
      </c>
      <c r="C1107" t="s">
        <v>122</v>
      </c>
      <c r="D1107" t="s">
        <v>123</v>
      </c>
      <c r="E1107" t="s">
        <v>124</v>
      </c>
      <c r="F1107" t="s">
        <v>12</v>
      </c>
      <c r="G1107">
        <v>3</v>
      </c>
      <c r="H1107">
        <v>228000</v>
      </c>
      <c r="I1107">
        <v>0</v>
      </c>
      <c r="J1107" t="s">
        <v>16</v>
      </c>
      <c r="K1107" s="14">
        <f t="shared" si="17"/>
        <v>684000</v>
      </c>
    </row>
    <row r="1108" spans="1:11">
      <c r="A1108" t="s">
        <v>1186</v>
      </c>
      <c r="B1108" s="2">
        <v>45281</v>
      </c>
      <c r="C1108" t="s">
        <v>43</v>
      </c>
      <c r="D1108" t="s">
        <v>44</v>
      </c>
      <c r="E1108" t="s">
        <v>29</v>
      </c>
      <c r="F1108" t="s">
        <v>68</v>
      </c>
      <c r="G1108">
        <v>2</v>
      </c>
      <c r="H1108">
        <v>235000</v>
      </c>
      <c r="I1108">
        <v>0</v>
      </c>
      <c r="J1108" t="s">
        <v>21</v>
      </c>
      <c r="K1108" s="14">
        <f t="shared" si="17"/>
        <v>470000</v>
      </c>
    </row>
    <row r="1109" spans="1:11">
      <c r="A1109" t="s">
        <v>1187</v>
      </c>
      <c r="B1109" s="2">
        <v>45218</v>
      </c>
      <c r="C1109" t="s">
        <v>119</v>
      </c>
      <c r="D1109" t="s">
        <v>120</v>
      </c>
      <c r="E1109" t="s">
        <v>11</v>
      </c>
      <c r="F1109" t="s">
        <v>68</v>
      </c>
      <c r="G1109">
        <v>2</v>
      </c>
      <c r="H1109">
        <v>440000</v>
      </c>
      <c r="I1109">
        <v>0</v>
      </c>
      <c r="J1109" t="s">
        <v>71</v>
      </c>
      <c r="K1109" s="14">
        <f t="shared" si="17"/>
        <v>880000</v>
      </c>
    </row>
    <row r="1110" spans="1:11">
      <c r="A1110" t="s">
        <v>1188</v>
      </c>
      <c r="B1110" s="2">
        <v>45023</v>
      </c>
      <c r="C1110" t="s">
        <v>88</v>
      </c>
      <c r="D1110" t="s">
        <v>10</v>
      </c>
      <c r="E1110" t="s">
        <v>11</v>
      </c>
      <c r="F1110" t="s">
        <v>62</v>
      </c>
      <c r="G1110">
        <v>1</v>
      </c>
      <c r="H1110">
        <v>420000</v>
      </c>
      <c r="I1110">
        <v>0</v>
      </c>
      <c r="J1110" t="s">
        <v>71</v>
      </c>
      <c r="K1110" s="14">
        <f t="shared" si="17"/>
        <v>420000</v>
      </c>
    </row>
    <row r="1111" spans="1:11">
      <c r="A1111" t="s">
        <v>1189</v>
      </c>
      <c r="B1111" s="2">
        <v>45181</v>
      </c>
      <c r="C1111" t="s">
        <v>215</v>
      </c>
      <c r="D1111" t="s">
        <v>10</v>
      </c>
      <c r="E1111" t="s">
        <v>11</v>
      </c>
      <c r="F1111" t="s">
        <v>12</v>
      </c>
      <c r="G1111">
        <v>3</v>
      </c>
      <c r="H1111">
        <v>420000</v>
      </c>
      <c r="I1111">
        <v>0</v>
      </c>
      <c r="J1111" t="s">
        <v>71</v>
      </c>
      <c r="K1111" s="14">
        <f t="shared" si="17"/>
        <v>1260000</v>
      </c>
    </row>
    <row r="1112" spans="1:11">
      <c r="A1112" t="s">
        <v>1190</v>
      </c>
      <c r="B1112" s="2">
        <v>45283</v>
      </c>
      <c r="C1112" t="s">
        <v>215</v>
      </c>
      <c r="D1112" t="s">
        <v>10</v>
      </c>
      <c r="E1112" t="s">
        <v>11</v>
      </c>
      <c r="F1112" t="s">
        <v>12</v>
      </c>
      <c r="G1112">
        <v>2</v>
      </c>
      <c r="H1112">
        <v>420000</v>
      </c>
      <c r="I1112">
        <v>0</v>
      </c>
      <c r="J1112" t="s">
        <v>71</v>
      </c>
      <c r="K1112" s="14">
        <f t="shared" si="17"/>
        <v>840000</v>
      </c>
    </row>
    <row r="1113" spans="1:11">
      <c r="A1113" t="s">
        <v>1191</v>
      </c>
      <c r="B1113" s="2">
        <v>45005</v>
      </c>
      <c r="C1113" t="s">
        <v>55</v>
      </c>
      <c r="D1113" t="s">
        <v>56</v>
      </c>
      <c r="E1113" t="s">
        <v>57</v>
      </c>
      <c r="F1113" t="s">
        <v>62</v>
      </c>
      <c r="G1113">
        <v>2</v>
      </c>
      <c r="H1113">
        <v>105000</v>
      </c>
      <c r="I1113">
        <v>0</v>
      </c>
      <c r="J1113" t="s">
        <v>16</v>
      </c>
      <c r="K1113" s="14">
        <f t="shared" si="17"/>
        <v>210000</v>
      </c>
    </row>
    <row r="1114" spans="1:11">
      <c r="A1114" t="s">
        <v>1192</v>
      </c>
      <c r="B1114" s="2">
        <v>45207</v>
      </c>
      <c r="C1114" t="s">
        <v>49</v>
      </c>
      <c r="D1114" t="s">
        <v>50</v>
      </c>
      <c r="E1114" t="s">
        <v>29</v>
      </c>
      <c r="F1114" t="s">
        <v>62</v>
      </c>
      <c r="G1114">
        <v>2</v>
      </c>
      <c r="H1114">
        <v>220000</v>
      </c>
      <c r="I1114">
        <v>0</v>
      </c>
      <c r="J1114" t="s">
        <v>21</v>
      </c>
      <c r="K1114" s="14">
        <f t="shared" si="17"/>
        <v>440000</v>
      </c>
    </row>
    <row r="1115" spans="1:11">
      <c r="A1115" t="s">
        <v>1193</v>
      </c>
      <c r="B1115" s="2">
        <v>45174</v>
      </c>
      <c r="C1115" t="s">
        <v>153</v>
      </c>
      <c r="D1115" t="s">
        <v>83</v>
      </c>
      <c r="E1115" t="s">
        <v>84</v>
      </c>
      <c r="F1115" t="s">
        <v>12</v>
      </c>
      <c r="G1115">
        <v>3</v>
      </c>
      <c r="H1115">
        <v>395000</v>
      </c>
      <c r="I1115">
        <v>0</v>
      </c>
      <c r="J1115" t="s">
        <v>41</v>
      </c>
      <c r="K1115" s="14">
        <f t="shared" si="17"/>
        <v>1185000</v>
      </c>
    </row>
    <row r="1116" spans="1:11">
      <c r="A1116" t="s">
        <v>1194</v>
      </c>
      <c r="B1116" s="2">
        <v>45181</v>
      </c>
      <c r="C1116" t="s">
        <v>31</v>
      </c>
      <c r="D1116" t="s">
        <v>32</v>
      </c>
      <c r="E1116" t="s">
        <v>29</v>
      </c>
      <c r="F1116" t="s">
        <v>68</v>
      </c>
      <c r="G1116">
        <v>1</v>
      </c>
      <c r="H1116">
        <v>215000</v>
      </c>
      <c r="I1116">
        <v>0</v>
      </c>
      <c r="J1116" t="s">
        <v>71</v>
      </c>
      <c r="K1116" s="14">
        <f t="shared" si="17"/>
        <v>215000</v>
      </c>
    </row>
    <row r="1117" spans="1:11">
      <c r="A1117" t="s">
        <v>1195</v>
      </c>
      <c r="B1117" s="2">
        <v>45094</v>
      </c>
      <c r="C1117" t="s">
        <v>82</v>
      </c>
      <c r="D1117" t="s">
        <v>83</v>
      </c>
      <c r="E1117" t="s">
        <v>84</v>
      </c>
      <c r="F1117" t="s">
        <v>68</v>
      </c>
      <c r="G1117">
        <v>1</v>
      </c>
      <c r="H1117">
        <v>395000</v>
      </c>
      <c r="I1117">
        <v>5</v>
      </c>
      <c r="J1117" t="s">
        <v>71</v>
      </c>
      <c r="K1117" s="14">
        <f t="shared" si="17"/>
        <v>375250</v>
      </c>
    </row>
    <row r="1118" spans="1:11">
      <c r="A1118" t="s">
        <v>1196</v>
      </c>
      <c r="B1118" s="2">
        <v>45000</v>
      </c>
      <c r="C1118" t="s">
        <v>43</v>
      </c>
      <c r="D1118" t="s">
        <v>44</v>
      </c>
      <c r="E1118" t="s">
        <v>29</v>
      </c>
      <c r="F1118" t="s">
        <v>68</v>
      </c>
      <c r="G1118">
        <v>1</v>
      </c>
      <c r="H1118">
        <v>235000</v>
      </c>
      <c r="I1118">
        <v>0</v>
      </c>
      <c r="J1118" t="s">
        <v>71</v>
      </c>
      <c r="K1118" s="14">
        <f t="shared" si="17"/>
        <v>235000</v>
      </c>
    </row>
    <row r="1119" spans="1:11">
      <c r="A1119" t="s">
        <v>1197</v>
      </c>
      <c r="B1119" s="2">
        <v>45066</v>
      </c>
      <c r="C1119" t="s">
        <v>94</v>
      </c>
      <c r="D1119" t="s">
        <v>50</v>
      </c>
      <c r="E1119" t="s">
        <v>29</v>
      </c>
      <c r="F1119" t="s">
        <v>68</v>
      </c>
      <c r="G1119">
        <v>2</v>
      </c>
      <c r="H1119">
        <v>220000</v>
      </c>
      <c r="I1119">
        <v>5</v>
      </c>
      <c r="J1119" t="s">
        <v>21</v>
      </c>
      <c r="K1119" s="14">
        <f t="shared" si="17"/>
        <v>418000</v>
      </c>
    </row>
    <row r="1120" spans="1:11">
      <c r="A1120" t="s">
        <v>1198</v>
      </c>
      <c r="B1120" s="2">
        <v>44983</v>
      </c>
      <c r="C1120" t="s">
        <v>122</v>
      </c>
      <c r="D1120" t="s">
        <v>123</v>
      </c>
      <c r="E1120" t="s">
        <v>124</v>
      </c>
      <c r="F1120" t="s">
        <v>12</v>
      </c>
      <c r="G1120">
        <v>1</v>
      </c>
      <c r="H1120">
        <v>228000</v>
      </c>
      <c r="I1120">
        <v>10</v>
      </c>
      <c r="J1120" t="s">
        <v>1268</v>
      </c>
      <c r="K1120" s="14">
        <f t="shared" si="17"/>
        <v>205200</v>
      </c>
    </row>
    <row r="1121" spans="1:11">
      <c r="A1121" t="s">
        <v>1199</v>
      </c>
      <c r="B1121" s="2">
        <v>45263</v>
      </c>
      <c r="C1121" t="s">
        <v>60</v>
      </c>
      <c r="D1121" t="s">
        <v>61</v>
      </c>
      <c r="E1121" t="s">
        <v>20</v>
      </c>
      <c r="F1121" t="s">
        <v>62</v>
      </c>
      <c r="G1121">
        <v>2</v>
      </c>
      <c r="H1121">
        <v>260000</v>
      </c>
      <c r="I1121">
        <v>0</v>
      </c>
      <c r="J1121" t="s">
        <v>16</v>
      </c>
      <c r="K1121" s="14">
        <f t="shared" si="17"/>
        <v>520000</v>
      </c>
    </row>
    <row r="1122" spans="1:11">
      <c r="A1122" t="s">
        <v>1200</v>
      </c>
      <c r="B1122" s="2">
        <v>45210</v>
      </c>
      <c r="C1122" t="s">
        <v>139</v>
      </c>
      <c r="D1122" t="s">
        <v>61</v>
      </c>
      <c r="E1122" t="s">
        <v>20</v>
      </c>
      <c r="F1122" t="s">
        <v>1268</v>
      </c>
      <c r="G1122">
        <v>1</v>
      </c>
      <c r="H1122">
        <v>260000</v>
      </c>
      <c r="I1122">
        <v>0</v>
      </c>
      <c r="J1122" t="s">
        <v>21</v>
      </c>
      <c r="K1122" s="14">
        <f t="shared" si="17"/>
        <v>260000</v>
      </c>
    </row>
    <row r="1123" spans="1:11">
      <c r="A1123" t="s">
        <v>1201</v>
      </c>
      <c r="B1123" s="2">
        <v>45113</v>
      </c>
      <c r="C1123" t="s">
        <v>104</v>
      </c>
      <c r="D1123" t="s">
        <v>105</v>
      </c>
      <c r="E1123" t="s">
        <v>29</v>
      </c>
      <c r="F1123" t="s">
        <v>12</v>
      </c>
      <c r="G1123">
        <v>2</v>
      </c>
      <c r="H1123">
        <v>210000</v>
      </c>
      <c r="I1123">
        <v>0</v>
      </c>
      <c r="J1123" t="s">
        <v>21</v>
      </c>
      <c r="K1123" s="14">
        <f t="shared" si="17"/>
        <v>420000</v>
      </c>
    </row>
    <row r="1124" spans="1:11">
      <c r="A1124" t="s">
        <v>1202</v>
      </c>
      <c r="B1124" s="2">
        <v>44981</v>
      </c>
      <c r="C1124" t="s">
        <v>31</v>
      </c>
      <c r="D1124" t="s">
        <v>32</v>
      </c>
      <c r="E1124" t="s">
        <v>29</v>
      </c>
      <c r="F1124" t="s">
        <v>68</v>
      </c>
      <c r="G1124">
        <v>2</v>
      </c>
      <c r="H1124">
        <v>215000</v>
      </c>
      <c r="I1124">
        <v>0</v>
      </c>
      <c r="J1124" t="s">
        <v>16</v>
      </c>
      <c r="K1124" s="14">
        <f t="shared" si="17"/>
        <v>430000</v>
      </c>
    </row>
    <row r="1125" spans="1:11">
      <c r="A1125" t="s">
        <v>1203</v>
      </c>
      <c r="B1125" s="2">
        <v>44979</v>
      </c>
      <c r="C1125" t="s">
        <v>122</v>
      </c>
      <c r="D1125" t="s">
        <v>123</v>
      </c>
      <c r="E1125" t="s">
        <v>124</v>
      </c>
      <c r="F1125" t="s">
        <v>12</v>
      </c>
      <c r="G1125">
        <v>1</v>
      </c>
      <c r="H1125">
        <v>228000</v>
      </c>
      <c r="I1125">
        <v>0</v>
      </c>
      <c r="J1125" t="s">
        <v>16</v>
      </c>
      <c r="K1125" s="14">
        <f t="shared" si="17"/>
        <v>228000</v>
      </c>
    </row>
    <row r="1126" spans="1:11">
      <c r="A1126" t="s">
        <v>1204</v>
      </c>
      <c r="B1126" s="2">
        <v>45210</v>
      </c>
      <c r="C1126" t="s">
        <v>94</v>
      </c>
      <c r="D1126" t="s">
        <v>50</v>
      </c>
      <c r="E1126" t="s">
        <v>29</v>
      </c>
      <c r="F1126" t="s">
        <v>68</v>
      </c>
      <c r="G1126">
        <v>1</v>
      </c>
      <c r="H1126">
        <v>220000</v>
      </c>
      <c r="I1126">
        <v>0</v>
      </c>
      <c r="J1126" t="s">
        <v>16</v>
      </c>
      <c r="K1126" s="14">
        <f t="shared" si="17"/>
        <v>220000</v>
      </c>
    </row>
    <row r="1127" spans="1:11">
      <c r="A1127" t="s">
        <v>1205</v>
      </c>
      <c r="B1127" s="2">
        <v>45228</v>
      </c>
      <c r="C1127" t="s">
        <v>96</v>
      </c>
      <c r="D1127" t="s">
        <v>97</v>
      </c>
      <c r="E1127" t="s">
        <v>98</v>
      </c>
      <c r="F1127" t="s">
        <v>12</v>
      </c>
      <c r="G1127">
        <v>1</v>
      </c>
      <c r="H1127">
        <v>170000</v>
      </c>
      <c r="I1127">
        <v>0</v>
      </c>
      <c r="J1127" t="s">
        <v>16</v>
      </c>
      <c r="K1127" s="14">
        <f t="shared" si="17"/>
        <v>170000</v>
      </c>
    </row>
    <row r="1128" spans="1:11">
      <c r="A1128" t="s">
        <v>1206</v>
      </c>
      <c r="B1128" s="2">
        <v>45083</v>
      </c>
      <c r="C1128" t="s">
        <v>34</v>
      </c>
      <c r="D1128" t="s">
        <v>35</v>
      </c>
      <c r="E1128" t="s">
        <v>36</v>
      </c>
      <c r="F1128" t="s">
        <v>12</v>
      </c>
      <c r="G1128">
        <v>1</v>
      </c>
      <c r="H1128">
        <v>198000</v>
      </c>
      <c r="I1128">
        <v>10</v>
      </c>
      <c r="J1128" t="s">
        <v>16</v>
      </c>
      <c r="K1128" s="14">
        <f t="shared" si="17"/>
        <v>178200</v>
      </c>
    </row>
    <row r="1129" spans="1:11">
      <c r="A1129" t="s">
        <v>1207</v>
      </c>
      <c r="B1129" s="2">
        <v>45247</v>
      </c>
      <c r="C1129" t="s">
        <v>55</v>
      </c>
      <c r="D1129" t="s">
        <v>56</v>
      </c>
      <c r="E1129" t="s">
        <v>57</v>
      </c>
      <c r="F1129" t="s">
        <v>62</v>
      </c>
      <c r="G1129">
        <v>1</v>
      </c>
      <c r="H1129">
        <v>105000</v>
      </c>
      <c r="I1129">
        <v>0</v>
      </c>
      <c r="J1129" t="s">
        <v>41</v>
      </c>
      <c r="K1129" s="14">
        <f t="shared" si="17"/>
        <v>105000</v>
      </c>
    </row>
    <row r="1130" spans="1:11">
      <c r="A1130" t="s">
        <v>1208</v>
      </c>
      <c r="B1130" s="2">
        <v>44983</v>
      </c>
      <c r="C1130" t="s">
        <v>18</v>
      </c>
      <c r="D1130" t="s">
        <v>19</v>
      </c>
      <c r="E1130" t="s">
        <v>20</v>
      </c>
      <c r="F1130" t="s">
        <v>12</v>
      </c>
      <c r="G1130">
        <v>2</v>
      </c>
      <c r="H1130">
        <v>265000</v>
      </c>
      <c r="I1130">
        <v>0</v>
      </c>
      <c r="J1130" t="s">
        <v>16</v>
      </c>
      <c r="K1130" s="14">
        <f t="shared" ref="K1130:K1190" si="18">G1130*H1130*(1-I1130/100)</f>
        <v>530000</v>
      </c>
    </row>
    <row r="1131" spans="1:11">
      <c r="A1131" t="s">
        <v>1209</v>
      </c>
      <c r="B1131" s="2">
        <v>45178</v>
      </c>
      <c r="C1131" t="s">
        <v>228</v>
      </c>
      <c r="D1131" t="s">
        <v>50</v>
      </c>
      <c r="E1131" t="s">
        <v>29</v>
      </c>
      <c r="F1131" t="s">
        <v>12</v>
      </c>
      <c r="G1131">
        <v>5</v>
      </c>
      <c r="H1131">
        <v>220000</v>
      </c>
      <c r="I1131">
        <v>0</v>
      </c>
      <c r="J1131" t="s">
        <v>21</v>
      </c>
      <c r="K1131" s="14">
        <f t="shared" si="18"/>
        <v>1100000</v>
      </c>
    </row>
    <row r="1132" spans="1:11">
      <c r="A1132" t="s">
        <v>1210</v>
      </c>
      <c r="B1132" s="2">
        <v>45175</v>
      </c>
      <c r="C1132" t="s">
        <v>43</v>
      </c>
      <c r="D1132" t="s">
        <v>44</v>
      </c>
      <c r="E1132" t="s">
        <v>29</v>
      </c>
      <c r="F1132" t="s">
        <v>68</v>
      </c>
      <c r="G1132">
        <v>1</v>
      </c>
      <c r="H1132">
        <v>235000</v>
      </c>
      <c r="I1132">
        <v>0</v>
      </c>
      <c r="J1132" t="s">
        <v>21</v>
      </c>
      <c r="K1132" s="14">
        <f t="shared" si="18"/>
        <v>235000</v>
      </c>
    </row>
    <row r="1133" spans="1:11">
      <c r="A1133" t="s">
        <v>1211</v>
      </c>
      <c r="B1133" s="2">
        <v>45283</v>
      </c>
      <c r="C1133" t="s">
        <v>90</v>
      </c>
      <c r="D1133" t="s">
        <v>91</v>
      </c>
      <c r="E1133" t="s">
        <v>11</v>
      </c>
      <c r="F1133" t="s">
        <v>12</v>
      </c>
      <c r="G1133">
        <v>2</v>
      </c>
      <c r="H1133">
        <v>425000</v>
      </c>
      <c r="I1133">
        <v>10</v>
      </c>
      <c r="J1133" t="s">
        <v>21</v>
      </c>
      <c r="K1133" s="14">
        <f t="shared" si="18"/>
        <v>765000</v>
      </c>
    </row>
    <row r="1134" spans="1:11">
      <c r="A1134" t="s">
        <v>1212</v>
      </c>
      <c r="B1134" s="2">
        <v>45001</v>
      </c>
      <c r="C1134" t="s">
        <v>46</v>
      </c>
      <c r="D1134" t="s">
        <v>44</v>
      </c>
      <c r="E1134" t="s">
        <v>1290</v>
      </c>
      <c r="F1134" t="s">
        <v>12</v>
      </c>
      <c r="G1134">
        <v>-1</v>
      </c>
      <c r="H1134">
        <v>235000</v>
      </c>
      <c r="I1134">
        <v>10</v>
      </c>
      <c r="J1134" t="s">
        <v>16</v>
      </c>
      <c r="K1134" s="14">
        <f t="shared" si="18"/>
        <v>-211500</v>
      </c>
    </row>
    <row r="1135" spans="1:11">
      <c r="A1135" t="s">
        <v>1213</v>
      </c>
      <c r="B1135" s="2">
        <v>44995</v>
      </c>
      <c r="C1135" t="s">
        <v>162</v>
      </c>
      <c r="D1135" t="s">
        <v>56</v>
      </c>
      <c r="E1135" t="s">
        <v>57</v>
      </c>
      <c r="F1135" t="s">
        <v>68</v>
      </c>
      <c r="G1135">
        <v>1</v>
      </c>
      <c r="H1135">
        <v>105000</v>
      </c>
      <c r="I1135">
        <v>0</v>
      </c>
      <c r="J1135" t="s">
        <v>71</v>
      </c>
      <c r="K1135" s="14">
        <f t="shared" si="18"/>
        <v>105000</v>
      </c>
    </row>
    <row r="1136" spans="1:11">
      <c r="A1136" t="s">
        <v>1214</v>
      </c>
      <c r="B1136" s="2">
        <v>45285</v>
      </c>
      <c r="C1136" t="s">
        <v>101</v>
      </c>
      <c r="D1136" t="s">
        <v>102</v>
      </c>
      <c r="E1136" t="s">
        <v>11</v>
      </c>
      <c r="F1136" t="s">
        <v>12</v>
      </c>
      <c r="G1136">
        <v>3</v>
      </c>
      <c r="H1136">
        <v>430000</v>
      </c>
      <c r="I1136">
        <v>0</v>
      </c>
      <c r="J1136" t="s">
        <v>16</v>
      </c>
      <c r="K1136" s="14">
        <f t="shared" si="18"/>
        <v>1290000</v>
      </c>
    </row>
    <row r="1137" spans="1:11">
      <c r="A1137" t="s">
        <v>1215</v>
      </c>
      <c r="B1137" s="2">
        <v>45148</v>
      </c>
      <c r="C1137" t="s">
        <v>228</v>
      </c>
      <c r="D1137" t="s">
        <v>50</v>
      </c>
      <c r="E1137" t="s">
        <v>29</v>
      </c>
      <c r="F1137" t="s">
        <v>12</v>
      </c>
      <c r="G1137">
        <v>4</v>
      </c>
      <c r="H1137">
        <v>220000</v>
      </c>
      <c r="I1137">
        <v>10</v>
      </c>
      <c r="J1137" t="s">
        <v>71</v>
      </c>
      <c r="K1137" s="14">
        <f t="shared" si="18"/>
        <v>792000</v>
      </c>
    </row>
    <row r="1138" spans="1:11">
      <c r="A1138" t="s">
        <v>1216</v>
      </c>
      <c r="B1138" s="2">
        <v>45032</v>
      </c>
      <c r="C1138" t="s">
        <v>70</v>
      </c>
      <c r="D1138" t="s">
        <v>65</v>
      </c>
      <c r="E1138" t="s">
        <v>66</v>
      </c>
      <c r="F1138" t="s">
        <v>12</v>
      </c>
      <c r="G1138">
        <v>2</v>
      </c>
      <c r="H1138">
        <v>295000</v>
      </c>
      <c r="I1138">
        <v>5</v>
      </c>
      <c r="J1138" t="s">
        <v>71</v>
      </c>
      <c r="K1138" s="14">
        <f t="shared" si="18"/>
        <v>560500</v>
      </c>
    </row>
    <row r="1139" spans="1:11">
      <c r="A1139" t="s">
        <v>1217</v>
      </c>
      <c r="B1139" s="2">
        <v>45009</v>
      </c>
      <c r="C1139" t="s">
        <v>82</v>
      </c>
      <c r="D1139" t="s">
        <v>83</v>
      </c>
      <c r="E1139" t="s">
        <v>84</v>
      </c>
      <c r="F1139" t="s">
        <v>68</v>
      </c>
      <c r="G1139">
        <v>1</v>
      </c>
      <c r="H1139">
        <v>395000</v>
      </c>
      <c r="I1139">
        <v>0</v>
      </c>
      <c r="J1139" t="s">
        <v>16</v>
      </c>
      <c r="K1139" s="14">
        <f t="shared" si="18"/>
        <v>395000</v>
      </c>
    </row>
    <row r="1140" spans="1:11">
      <c r="A1140" t="s">
        <v>1218</v>
      </c>
      <c r="B1140" s="2">
        <v>44978</v>
      </c>
      <c r="C1140" t="s">
        <v>55</v>
      </c>
      <c r="D1140" t="s">
        <v>56</v>
      </c>
      <c r="E1140" t="s">
        <v>57</v>
      </c>
      <c r="F1140" t="s">
        <v>62</v>
      </c>
      <c r="G1140">
        <v>2</v>
      </c>
      <c r="H1140">
        <v>105000</v>
      </c>
      <c r="I1140">
        <v>0</v>
      </c>
      <c r="J1140" t="s">
        <v>16</v>
      </c>
      <c r="K1140" s="14">
        <f t="shared" si="18"/>
        <v>210000</v>
      </c>
    </row>
    <row r="1141" spans="1:11">
      <c r="A1141" t="s">
        <v>1219</v>
      </c>
      <c r="B1141" s="2">
        <v>45131</v>
      </c>
      <c r="C1141" t="s">
        <v>215</v>
      </c>
      <c r="D1141" t="s">
        <v>10</v>
      </c>
      <c r="E1141" t="s">
        <v>11</v>
      </c>
      <c r="F1141" t="s">
        <v>12</v>
      </c>
      <c r="G1141">
        <v>2</v>
      </c>
      <c r="H1141">
        <v>420000</v>
      </c>
      <c r="I1141">
        <v>0</v>
      </c>
      <c r="J1141" t="s">
        <v>16</v>
      </c>
      <c r="K1141" s="14">
        <f t="shared" si="18"/>
        <v>840000</v>
      </c>
    </row>
    <row r="1142" spans="1:11">
      <c r="A1142" t="s">
        <v>1220</v>
      </c>
      <c r="B1142" s="2">
        <v>45274</v>
      </c>
      <c r="C1142" t="s">
        <v>122</v>
      </c>
      <c r="D1142" t="s">
        <v>123</v>
      </c>
      <c r="E1142" t="s">
        <v>124</v>
      </c>
      <c r="F1142" t="s">
        <v>12</v>
      </c>
      <c r="G1142">
        <v>1</v>
      </c>
      <c r="H1142">
        <v>228000</v>
      </c>
      <c r="I1142">
        <v>0</v>
      </c>
      <c r="J1142" t="s">
        <v>21</v>
      </c>
      <c r="K1142" s="14">
        <f t="shared" si="18"/>
        <v>228000</v>
      </c>
    </row>
    <row r="1143" spans="1:11">
      <c r="A1143" t="s">
        <v>1221</v>
      </c>
      <c r="B1143" s="2">
        <v>44979</v>
      </c>
      <c r="C1143" t="s">
        <v>23</v>
      </c>
      <c r="D1143" t="s">
        <v>24</v>
      </c>
      <c r="E1143" t="s">
        <v>25</v>
      </c>
      <c r="F1143" t="s">
        <v>12</v>
      </c>
      <c r="G1143">
        <v>2</v>
      </c>
      <c r="H1143">
        <v>182000</v>
      </c>
      <c r="I1143">
        <v>0</v>
      </c>
      <c r="J1143" t="s">
        <v>71</v>
      </c>
      <c r="K1143" s="14">
        <f t="shared" si="18"/>
        <v>364000</v>
      </c>
    </row>
    <row r="1144" spans="1:11">
      <c r="A1144" t="s">
        <v>1222</v>
      </c>
      <c r="B1144" s="2">
        <v>45180</v>
      </c>
      <c r="C1144" t="s">
        <v>96</v>
      </c>
      <c r="D1144" t="s">
        <v>97</v>
      </c>
      <c r="E1144" t="s">
        <v>98</v>
      </c>
      <c r="F1144" t="s">
        <v>12</v>
      </c>
      <c r="G1144">
        <v>2</v>
      </c>
      <c r="H1144">
        <v>170000</v>
      </c>
      <c r="I1144">
        <v>0</v>
      </c>
      <c r="J1144" t="s">
        <v>41</v>
      </c>
      <c r="K1144" s="14">
        <f t="shared" si="18"/>
        <v>340000</v>
      </c>
    </row>
    <row r="1145" spans="1:11">
      <c r="A1145" t="s">
        <v>837</v>
      </c>
      <c r="B1145" s="2">
        <v>44939</v>
      </c>
      <c r="C1145" t="s">
        <v>153</v>
      </c>
      <c r="D1145" t="s">
        <v>83</v>
      </c>
      <c r="E1145" t="s">
        <v>84</v>
      </c>
      <c r="F1145" t="s">
        <v>12</v>
      </c>
      <c r="G1145">
        <v>5</v>
      </c>
      <c r="H1145">
        <v>395000</v>
      </c>
      <c r="I1145">
        <v>0</v>
      </c>
      <c r="J1145" t="s">
        <v>16</v>
      </c>
      <c r="K1145" s="14">
        <f t="shared" si="18"/>
        <v>1975000</v>
      </c>
    </row>
    <row r="1146" spans="1:11">
      <c r="A1146" t="s">
        <v>1223</v>
      </c>
      <c r="B1146" s="2">
        <v>45170</v>
      </c>
      <c r="C1146" t="s">
        <v>49</v>
      </c>
      <c r="D1146" t="s">
        <v>50</v>
      </c>
      <c r="E1146" t="s">
        <v>29</v>
      </c>
      <c r="F1146" t="s">
        <v>62</v>
      </c>
      <c r="G1146">
        <v>3</v>
      </c>
      <c r="H1146">
        <v>220000</v>
      </c>
      <c r="I1146">
        <v>0</v>
      </c>
      <c r="J1146" t="s">
        <v>16</v>
      </c>
      <c r="K1146" s="14">
        <f t="shared" si="18"/>
        <v>660000</v>
      </c>
    </row>
    <row r="1147" spans="1:11">
      <c r="A1147" t="s">
        <v>1224</v>
      </c>
      <c r="B1147" s="2">
        <v>45016</v>
      </c>
      <c r="C1147" t="s">
        <v>144</v>
      </c>
      <c r="D1147" t="s">
        <v>142</v>
      </c>
      <c r="E1147" t="s">
        <v>66</v>
      </c>
      <c r="F1147" t="s">
        <v>12</v>
      </c>
      <c r="G1147">
        <v>1</v>
      </c>
      <c r="H1147">
        <v>330000</v>
      </c>
      <c r="I1147">
        <v>0</v>
      </c>
      <c r="J1147" t="s">
        <v>71</v>
      </c>
      <c r="K1147" s="14">
        <f t="shared" si="18"/>
        <v>330000</v>
      </c>
    </row>
    <row r="1148" spans="1:11">
      <c r="A1148" t="s">
        <v>1225</v>
      </c>
      <c r="B1148" s="2">
        <v>45189</v>
      </c>
      <c r="C1148" t="s">
        <v>250</v>
      </c>
      <c r="D1148" t="s">
        <v>53</v>
      </c>
      <c r="E1148" t="s">
        <v>36</v>
      </c>
      <c r="F1148" t="s">
        <v>62</v>
      </c>
      <c r="G1148">
        <v>2</v>
      </c>
      <c r="H1148">
        <v>195000</v>
      </c>
      <c r="I1148">
        <v>5</v>
      </c>
      <c r="J1148" t="s">
        <v>16</v>
      </c>
      <c r="K1148" s="14">
        <f t="shared" si="18"/>
        <v>370500</v>
      </c>
    </row>
    <row r="1149" spans="1:11">
      <c r="A1149" t="s">
        <v>1226</v>
      </c>
      <c r="B1149" s="2">
        <v>45204</v>
      </c>
      <c r="C1149" t="s">
        <v>162</v>
      </c>
      <c r="D1149" t="s">
        <v>56</v>
      </c>
      <c r="E1149" t="s">
        <v>57</v>
      </c>
      <c r="F1149" t="s">
        <v>68</v>
      </c>
      <c r="G1149">
        <v>2</v>
      </c>
      <c r="H1149">
        <v>105000</v>
      </c>
      <c r="I1149">
        <v>5</v>
      </c>
      <c r="J1149" t="s">
        <v>16</v>
      </c>
      <c r="K1149" s="14">
        <f t="shared" si="18"/>
        <v>199500</v>
      </c>
    </row>
    <row r="1150" spans="1:11">
      <c r="A1150" t="s">
        <v>1227</v>
      </c>
      <c r="B1150" s="2">
        <v>45138</v>
      </c>
      <c r="C1150" t="s">
        <v>82</v>
      </c>
      <c r="D1150" t="s">
        <v>83</v>
      </c>
      <c r="E1150" t="s">
        <v>84</v>
      </c>
      <c r="F1150" t="s">
        <v>68</v>
      </c>
      <c r="G1150">
        <v>1</v>
      </c>
      <c r="H1150">
        <v>395000</v>
      </c>
      <c r="I1150">
        <v>10</v>
      </c>
      <c r="J1150" t="s">
        <v>16</v>
      </c>
      <c r="K1150" s="14">
        <f t="shared" si="18"/>
        <v>355500</v>
      </c>
    </row>
    <row r="1151" spans="1:11">
      <c r="A1151" t="s">
        <v>1228</v>
      </c>
      <c r="B1151" s="2">
        <v>45174</v>
      </c>
      <c r="C1151" t="s">
        <v>108</v>
      </c>
      <c r="D1151" t="s">
        <v>56</v>
      </c>
      <c r="E1151" t="s">
        <v>57</v>
      </c>
      <c r="F1151" t="s">
        <v>12</v>
      </c>
      <c r="G1151">
        <v>2</v>
      </c>
      <c r="H1151">
        <v>105000</v>
      </c>
      <c r="I1151">
        <v>20</v>
      </c>
      <c r="J1151" t="s">
        <v>16</v>
      </c>
      <c r="K1151" s="14">
        <f t="shared" si="18"/>
        <v>168000</v>
      </c>
    </row>
    <row r="1152" spans="1:11">
      <c r="A1152" t="s">
        <v>1229</v>
      </c>
      <c r="B1152" s="2">
        <v>44986</v>
      </c>
      <c r="C1152" t="s">
        <v>108</v>
      </c>
      <c r="D1152" t="s">
        <v>56</v>
      </c>
      <c r="E1152" t="s">
        <v>57</v>
      </c>
      <c r="F1152" t="s">
        <v>12</v>
      </c>
      <c r="G1152">
        <v>2</v>
      </c>
      <c r="H1152">
        <v>105000</v>
      </c>
      <c r="I1152">
        <v>0</v>
      </c>
      <c r="J1152" t="s">
        <v>21</v>
      </c>
      <c r="K1152" s="14">
        <f t="shared" si="18"/>
        <v>210000</v>
      </c>
    </row>
    <row r="1153" spans="1:11">
      <c r="A1153" t="s">
        <v>1230</v>
      </c>
      <c r="B1153" s="2">
        <v>45059</v>
      </c>
      <c r="C1153" t="s">
        <v>23</v>
      </c>
      <c r="D1153" t="s">
        <v>24</v>
      </c>
      <c r="E1153" t="s">
        <v>25</v>
      </c>
      <c r="F1153" t="s">
        <v>12</v>
      </c>
      <c r="G1153">
        <v>5</v>
      </c>
      <c r="H1153">
        <v>182000</v>
      </c>
      <c r="I1153">
        <v>5</v>
      </c>
      <c r="J1153" t="s">
        <v>16</v>
      </c>
      <c r="K1153" s="14">
        <f t="shared" si="18"/>
        <v>864500</v>
      </c>
    </row>
    <row r="1154" spans="1:11">
      <c r="A1154" t="s">
        <v>1231</v>
      </c>
      <c r="B1154" s="2">
        <v>45008</v>
      </c>
      <c r="C1154" t="s">
        <v>34</v>
      </c>
      <c r="D1154" t="s">
        <v>35</v>
      </c>
      <c r="E1154" t="s">
        <v>36</v>
      </c>
      <c r="F1154" t="s">
        <v>12</v>
      </c>
      <c r="G1154">
        <v>-1</v>
      </c>
      <c r="H1154">
        <v>198000</v>
      </c>
      <c r="I1154">
        <v>0</v>
      </c>
      <c r="J1154" t="s">
        <v>21</v>
      </c>
      <c r="K1154" s="14">
        <f t="shared" si="18"/>
        <v>-198000</v>
      </c>
    </row>
    <row r="1155" spans="1:11">
      <c r="A1155" t="s">
        <v>1232</v>
      </c>
      <c r="B1155" s="2">
        <v>45014</v>
      </c>
      <c r="C1155" t="s">
        <v>15</v>
      </c>
      <c r="D1155" t="s">
        <v>10</v>
      </c>
      <c r="E1155" t="s">
        <v>11</v>
      </c>
      <c r="F1155" t="s">
        <v>1268</v>
      </c>
      <c r="G1155">
        <v>3</v>
      </c>
      <c r="H1155">
        <v>420000</v>
      </c>
      <c r="I1155">
        <v>10</v>
      </c>
      <c r="J1155" t="s">
        <v>21</v>
      </c>
      <c r="K1155" s="14">
        <f t="shared" si="18"/>
        <v>1134000</v>
      </c>
    </row>
    <row r="1156" spans="1:11">
      <c r="A1156" t="s">
        <v>1233</v>
      </c>
      <c r="B1156" s="2">
        <v>45019</v>
      </c>
      <c r="C1156" t="s">
        <v>49</v>
      </c>
      <c r="D1156" t="s">
        <v>50</v>
      </c>
      <c r="E1156" t="s">
        <v>29</v>
      </c>
      <c r="F1156" t="s">
        <v>62</v>
      </c>
      <c r="G1156">
        <v>2</v>
      </c>
      <c r="H1156">
        <v>220000</v>
      </c>
      <c r="I1156">
        <v>0</v>
      </c>
      <c r="J1156" t="s">
        <v>21</v>
      </c>
      <c r="K1156" s="14">
        <f t="shared" si="18"/>
        <v>440000</v>
      </c>
    </row>
    <row r="1157" spans="1:11">
      <c r="A1157" t="s">
        <v>1234</v>
      </c>
      <c r="B1157" s="2">
        <v>45099</v>
      </c>
      <c r="C1157" t="s">
        <v>242</v>
      </c>
      <c r="D1157" t="s">
        <v>97</v>
      </c>
      <c r="E1157" t="s">
        <v>98</v>
      </c>
      <c r="F1157" t="s">
        <v>62</v>
      </c>
      <c r="G1157">
        <v>5</v>
      </c>
      <c r="H1157">
        <v>170000</v>
      </c>
      <c r="I1157">
        <v>10</v>
      </c>
      <c r="J1157" t="s">
        <v>21</v>
      </c>
      <c r="K1157" s="14">
        <f>G1157*H1157*(1-I1157/100)</f>
        <v>765000</v>
      </c>
    </row>
    <row r="1158" spans="1:11">
      <c r="A1158" t="s">
        <v>1235</v>
      </c>
      <c r="B1158" s="2">
        <v>45072</v>
      </c>
      <c r="C1158" t="s">
        <v>215</v>
      </c>
      <c r="D1158" t="s">
        <v>10</v>
      </c>
      <c r="E1158" t="s">
        <v>11</v>
      </c>
      <c r="F1158" t="s">
        <v>12</v>
      </c>
      <c r="G1158">
        <v>1</v>
      </c>
      <c r="H1158">
        <v>420000</v>
      </c>
      <c r="I1158">
        <v>0</v>
      </c>
      <c r="J1158" t="s">
        <v>21</v>
      </c>
      <c r="K1158" s="14">
        <f t="shared" si="18"/>
        <v>420000</v>
      </c>
    </row>
    <row r="1159" spans="1:11">
      <c r="A1159" t="s">
        <v>1236</v>
      </c>
      <c r="B1159" s="2">
        <v>45151</v>
      </c>
      <c r="C1159" t="s">
        <v>184</v>
      </c>
      <c r="D1159" t="s">
        <v>110</v>
      </c>
      <c r="E1159" t="s">
        <v>66</v>
      </c>
      <c r="F1159" t="s">
        <v>12</v>
      </c>
      <c r="G1159">
        <v>3</v>
      </c>
      <c r="H1159">
        <v>335000</v>
      </c>
      <c r="I1159">
        <v>10</v>
      </c>
      <c r="J1159" t="s">
        <v>16</v>
      </c>
      <c r="K1159" s="14">
        <f t="shared" si="18"/>
        <v>904500</v>
      </c>
    </row>
    <row r="1160" spans="1:11">
      <c r="A1160" t="s">
        <v>1237</v>
      </c>
      <c r="B1160" s="2">
        <v>44988</v>
      </c>
      <c r="C1160" t="s">
        <v>133</v>
      </c>
      <c r="D1160" t="s">
        <v>102</v>
      </c>
      <c r="E1160" t="s">
        <v>11</v>
      </c>
      <c r="F1160" t="s">
        <v>62</v>
      </c>
      <c r="G1160">
        <v>1</v>
      </c>
      <c r="H1160">
        <v>430000</v>
      </c>
      <c r="I1160">
        <v>0</v>
      </c>
      <c r="J1160" t="s">
        <v>16</v>
      </c>
      <c r="K1160" s="14">
        <f t="shared" si="18"/>
        <v>430000</v>
      </c>
    </row>
    <row r="1161" spans="1:11">
      <c r="A1161" t="s">
        <v>1238</v>
      </c>
      <c r="B1161" s="2">
        <v>45230</v>
      </c>
      <c r="C1161" t="s">
        <v>82</v>
      </c>
      <c r="D1161" t="s">
        <v>83</v>
      </c>
      <c r="E1161" t="s">
        <v>84</v>
      </c>
      <c r="F1161" t="s">
        <v>68</v>
      </c>
      <c r="G1161">
        <v>1</v>
      </c>
      <c r="H1161">
        <v>395000</v>
      </c>
      <c r="I1161">
        <v>0</v>
      </c>
      <c r="J1161" t="s">
        <v>16</v>
      </c>
      <c r="K1161" s="14">
        <f t="shared" si="18"/>
        <v>395000</v>
      </c>
    </row>
    <row r="1162" spans="1:11">
      <c r="A1162" t="s">
        <v>1239</v>
      </c>
      <c r="B1162" s="2">
        <v>45023</v>
      </c>
      <c r="C1162" t="s">
        <v>82</v>
      </c>
      <c r="D1162" t="s">
        <v>83</v>
      </c>
      <c r="E1162" t="s">
        <v>84</v>
      </c>
      <c r="F1162" t="s">
        <v>68</v>
      </c>
      <c r="G1162">
        <v>2</v>
      </c>
      <c r="H1162">
        <v>395000</v>
      </c>
      <c r="I1162">
        <v>20</v>
      </c>
      <c r="J1162" t="s">
        <v>16</v>
      </c>
      <c r="K1162" s="14">
        <f t="shared" si="18"/>
        <v>632000</v>
      </c>
    </row>
    <row r="1163" spans="1:11">
      <c r="A1163" t="s">
        <v>1240</v>
      </c>
      <c r="B1163" s="2">
        <v>44928</v>
      </c>
      <c r="C1163" t="s">
        <v>139</v>
      </c>
      <c r="D1163" t="s">
        <v>61</v>
      </c>
      <c r="E1163" t="s">
        <v>20</v>
      </c>
      <c r="F1163" t="s">
        <v>12</v>
      </c>
      <c r="G1163">
        <v>1</v>
      </c>
      <c r="H1163">
        <v>260000</v>
      </c>
      <c r="I1163">
        <v>5</v>
      </c>
      <c r="J1163" t="s">
        <v>21</v>
      </c>
      <c r="K1163" s="14">
        <f t="shared" si="18"/>
        <v>247000</v>
      </c>
    </row>
    <row r="1164" spans="1:11">
      <c r="A1164" t="s">
        <v>1241</v>
      </c>
      <c r="B1164" s="2">
        <v>45170</v>
      </c>
      <c r="C1164" t="s">
        <v>299</v>
      </c>
      <c r="D1164" t="s">
        <v>120</v>
      </c>
      <c r="E1164" t="s">
        <v>11</v>
      </c>
      <c r="F1164" t="s">
        <v>1268</v>
      </c>
      <c r="G1164">
        <v>2</v>
      </c>
      <c r="H1164">
        <v>440000</v>
      </c>
      <c r="I1164">
        <v>0</v>
      </c>
      <c r="J1164" t="s">
        <v>21</v>
      </c>
      <c r="K1164" s="14">
        <f t="shared" si="18"/>
        <v>880000</v>
      </c>
    </row>
    <row r="1165" spans="1:11">
      <c r="A1165" t="s">
        <v>1242</v>
      </c>
      <c r="B1165" s="2">
        <v>45023</v>
      </c>
      <c r="C1165" t="s">
        <v>162</v>
      </c>
      <c r="D1165" t="s">
        <v>56</v>
      </c>
      <c r="E1165" t="s">
        <v>57</v>
      </c>
      <c r="F1165" t="s">
        <v>68</v>
      </c>
      <c r="G1165">
        <v>3</v>
      </c>
      <c r="H1165">
        <v>105000</v>
      </c>
      <c r="I1165">
        <v>0</v>
      </c>
      <c r="J1165" t="s">
        <v>71</v>
      </c>
      <c r="K1165" s="14">
        <f t="shared" si="18"/>
        <v>315000</v>
      </c>
    </row>
    <row r="1166" spans="1:11">
      <c r="A1166" t="s">
        <v>1243</v>
      </c>
      <c r="B1166" s="2">
        <v>45133</v>
      </c>
      <c r="C1166" t="s">
        <v>215</v>
      </c>
      <c r="D1166" t="s">
        <v>10</v>
      </c>
      <c r="E1166" t="s">
        <v>11</v>
      </c>
      <c r="F1166" t="s">
        <v>12</v>
      </c>
      <c r="G1166">
        <v>1</v>
      </c>
      <c r="H1166">
        <v>420000</v>
      </c>
      <c r="I1166">
        <v>10</v>
      </c>
      <c r="J1166" t="s">
        <v>16</v>
      </c>
      <c r="K1166" s="14">
        <f t="shared" si="18"/>
        <v>378000</v>
      </c>
    </row>
    <row r="1167" spans="1:11">
      <c r="A1167" t="s">
        <v>1244</v>
      </c>
      <c r="B1167" s="2">
        <v>45092</v>
      </c>
      <c r="C1167" t="s">
        <v>96</v>
      </c>
      <c r="D1167" t="s">
        <v>97</v>
      </c>
      <c r="E1167" t="s">
        <v>98</v>
      </c>
      <c r="F1167" t="s">
        <v>12</v>
      </c>
      <c r="G1167">
        <v>1</v>
      </c>
      <c r="H1167">
        <v>170000</v>
      </c>
      <c r="I1167">
        <v>0</v>
      </c>
      <c r="J1167" t="s">
        <v>16</v>
      </c>
      <c r="K1167" s="14">
        <f t="shared" si="18"/>
        <v>170000</v>
      </c>
    </row>
    <row r="1168" spans="1:11">
      <c r="A1168" t="s">
        <v>1245</v>
      </c>
      <c r="B1168" s="2">
        <v>44941</v>
      </c>
      <c r="C1168" t="s">
        <v>144</v>
      </c>
      <c r="D1168" t="s">
        <v>142</v>
      </c>
      <c r="E1168" t="s">
        <v>66</v>
      </c>
      <c r="F1168" t="s">
        <v>12</v>
      </c>
      <c r="G1168">
        <v>1</v>
      </c>
      <c r="H1168">
        <v>330000</v>
      </c>
      <c r="I1168">
        <v>0</v>
      </c>
      <c r="J1168" t="s">
        <v>16</v>
      </c>
      <c r="K1168" s="14">
        <f t="shared" si="18"/>
        <v>330000</v>
      </c>
    </row>
    <row r="1169" spans="1:11">
      <c r="A1169" t="s">
        <v>1246</v>
      </c>
      <c r="B1169" s="2">
        <v>45283</v>
      </c>
      <c r="C1169" t="s">
        <v>108</v>
      </c>
      <c r="D1169" t="s">
        <v>56</v>
      </c>
      <c r="E1169" t="s">
        <v>57</v>
      </c>
      <c r="F1169" t="s">
        <v>12</v>
      </c>
      <c r="G1169">
        <v>3</v>
      </c>
      <c r="H1169">
        <v>105000</v>
      </c>
      <c r="I1169">
        <v>10</v>
      </c>
      <c r="J1169" t="s">
        <v>16</v>
      </c>
      <c r="K1169" s="14">
        <f t="shared" si="18"/>
        <v>283500</v>
      </c>
    </row>
    <row r="1170" spans="1:11">
      <c r="A1170" t="s">
        <v>1247</v>
      </c>
      <c r="B1170" s="2">
        <v>45267</v>
      </c>
      <c r="C1170" t="s">
        <v>46</v>
      </c>
      <c r="D1170" t="s">
        <v>44</v>
      </c>
      <c r="E1170" t="s">
        <v>1290</v>
      </c>
      <c r="F1170" t="s">
        <v>12</v>
      </c>
      <c r="G1170">
        <v>2</v>
      </c>
      <c r="H1170">
        <v>235000</v>
      </c>
      <c r="I1170">
        <v>0</v>
      </c>
      <c r="J1170" t="s">
        <v>16</v>
      </c>
      <c r="K1170" s="14">
        <f t="shared" si="18"/>
        <v>470000</v>
      </c>
    </row>
    <row r="1171" spans="1:11">
      <c r="A1171" t="s">
        <v>1248</v>
      </c>
      <c r="B1171" s="2">
        <v>45001</v>
      </c>
      <c r="C1171" t="s">
        <v>139</v>
      </c>
      <c r="D1171" t="s">
        <v>61</v>
      </c>
      <c r="E1171" t="s">
        <v>20</v>
      </c>
      <c r="F1171" t="s">
        <v>12</v>
      </c>
      <c r="G1171">
        <v>5</v>
      </c>
      <c r="H1171">
        <v>260000</v>
      </c>
      <c r="I1171">
        <v>0</v>
      </c>
      <c r="J1171" t="s">
        <v>21</v>
      </c>
      <c r="K1171" s="14">
        <f t="shared" si="18"/>
        <v>1300000</v>
      </c>
    </row>
    <row r="1172" spans="1:11">
      <c r="A1172" t="s">
        <v>1249</v>
      </c>
      <c r="B1172" s="2">
        <v>45148</v>
      </c>
      <c r="C1172" t="s">
        <v>46</v>
      </c>
      <c r="D1172" t="s">
        <v>44</v>
      </c>
      <c r="E1172" t="s">
        <v>1290</v>
      </c>
      <c r="F1172" t="s">
        <v>12</v>
      </c>
      <c r="G1172">
        <v>1</v>
      </c>
      <c r="H1172">
        <v>235000</v>
      </c>
      <c r="I1172">
        <v>5</v>
      </c>
      <c r="J1172" t="s">
        <v>41</v>
      </c>
      <c r="K1172" s="14">
        <f t="shared" si="18"/>
        <v>223250</v>
      </c>
    </row>
    <row r="1173" spans="1:11">
      <c r="A1173" t="s">
        <v>1250</v>
      </c>
      <c r="B1173" s="2">
        <v>1207569</v>
      </c>
      <c r="C1173" t="s">
        <v>184</v>
      </c>
      <c r="D1173" t="s">
        <v>110</v>
      </c>
      <c r="E1173" t="s">
        <v>66</v>
      </c>
      <c r="F1173" t="s">
        <v>12</v>
      </c>
      <c r="G1173">
        <v>3</v>
      </c>
      <c r="H1173">
        <v>335000</v>
      </c>
      <c r="I1173">
        <v>0</v>
      </c>
      <c r="J1173" t="s">
        <v>21</v>
      </c>
      <c r="K1173" s="14">
        <f t="shared" si="18"/>
        <v>1005000</v>
      </c>
    </row>
    <row r="1174" spans="1:11">
      <c r="A1174" t="s">
        <v>1251</v>
      </c>
      <c r="B1174" s="2">
        <v>45269</v>
      </c>
      <c r="C1174" t="s">
        <v>64</v>
      </c>
      <c r="D1174" t="s">
        <v>65</v>
      </c>
      <c r="E1174" t="s">
        <v>66</v>
      </c>
      <c r="F1174" t="s">
        <v>62</v>
      </c>
      <c r="G1174">
        <v>3</v>
      </c>
      <c r="H1174">
        <v>295000</v>
      </c>
      <c r="I1174">
        <v>0</v>
      </c>
      <c r="J1174" t="s">
        <v>16</v>
      </c>
      <c r="K1174" s="14">
        <f t="shared" si="18"/>
        <v>885000</v>
      </c>
    </row>
    <row r="1175" spans="1:11">
      <c r="A1175" t="s">
        <v>1252</v>
      </c>
      <c r="B1175" s="2">
        <v>45035</v>
      </c>
      <c r="C1175" t="s">
        <v>27</v>
      </c>
      <c r="D1175" t="s">
        <v>28</v>
      </c>
      <c r="E1175" t="s">
        <v>29</v>
      </c>
      <c r="F1175" t="s">
        <v>12</v>
      </c>
      <c r="G1175">
        <v>1</v>
      </c>
      <c r="H1175">
        <v>210000</v>
      </c>
      <c r="I1175">
        <v>20</v>
      </c>
      <c r="J1175" t="s">
        <v>21</v>
      </c>
      <c r="K1175" s="14">
        <f t="shared" si="18"/>
        <v>168000</v>
      </c>
    </row>
    <row r="1176" spans="1:11">
      <c r="A1176" t="s">
        <v>1253</v>
      </c>
      <c r="B1176" s="2">
        <v>45061</v>
      </c>
      <c r="C1176" t="s">
        <v>162</v>
      </c>
      <c r="D1176" t="s">
        <v>56</v>
      </c>
      <c r="E1176" t="s">
        <v>57</v>
      </c>
      <c r="F1176" t="s">
        <v>68</v>
      </c>
      <c r="G1176">
        <v>1</v>
      </c>
      <c r="H1176">
        <v>105000</v>
      </c>
      <c r="I1176">
        <v>10</v>
      </c>
      <c r="J1176" t="s">
        <v>21</v>
      </c>
      <c r="K1176" s="14">
        <f t="shared" si="18"/>
        <v>94500</v>
      </c>
    </row>
    <row r="1177" spans="1:11">
      <c r="A1177" t="s">
        <v>1254</v>
      </c>
      <c r="B1177" s="2">
        <v>44994</v>
      </c>
      <c r="C1177" t="s">
        <v>184</v>
      </c>
      <c r="D1177" t="s">
        <v>110</v>
      </c>
      <c r="E1177" t="s">
        <v>66</v>
      </c>
      <c r="F1177" t="s">
        <v>12</v>
      </c>
      <c r="G1177">
        <v>5</v>
      </c>
      <c r="H1177">
        <v>335000</v>
      </c>
      <c r="I1177">
        <v>0</v>
      </c>
      <c r="J1177" t="s">
        <v>21</v>
      </c>
      <c r="K1177" s="14">
        <f t="shared" si="18"/>
        <v>1675000</v>
      </c>
    </row>
    <row r="1178" spans="1:11">
      <c r="A1178" t="s">
        <v>1255</v>
      </c>
      <c r="B1178" s="2">
        <v>44945</v>
      </c>
      <c r="C1178" t="s">
        <v>101</v>
      </c>
      <c r="D1178" t="s">
        <v>102</v>
      </c>
      <c r="E1178" t="s">
        <v>11</v>
      </c>
      <c r="F1178" t="s">
        <v>12</v>
      </c>
      <c r="G1178">
        <v>2</v>
      </c>
      <c r="H1178">
        <v>430000</v>
      </c>
      <c r="I1178">
        <v>5</v>
      </c>
      <c r="J1178" t="s">
        <v>21</v>
      </c>
      <c r="K1178" s="14">
        <f t="shared" si="18"/>
        <v>817000</v>
      </c>
    </row>
    <row r="1179" spans="1:11">
      <c r="A1179" t="s">
        <v>1256</v>
      </c>
      <c r="B1179" s="2">
        <v>45289</v>
      </c>
      <c r="C1179" t="s">
        <v>108</v>
      </c>
      <c r="D1179" t="s">
        <v>56</v>
      </c>
      <c r="E1179" t="s">
        <v>57</v>
      </c>
      <c r="F1179" t="s">
        <v>12</v>
      </c>
      <c r="G1179">
        <v>1</v>
      </c>
      <c r="H1179">
        <v>105000</v>
      </c>
      <c r="I1179">
        <v>0</v>
      </c>
      <c r="J1179" t="s">
        <v>16</v>
      </c>
      <c r="K1179" s="14">
        <f t="shared" si="18"/>
        <v>105000</v>
      </c>
    </row>
    <row r="1180" spans="1:11">
      <c r="A1180" t="s">
        <v>1257</v>
      </c>
      <c r="B1180" s="2">
        <v>45285</v>
      </c>
      <c r="C1180" t="s">
        <v>46</v>
      </c>
      <c r="D1180" t="s">
        <v>44</v>
      </c>
      <c r="E1180" t="s">
        <v>1290</v>
      </c>
      <c r="F1180" t="s">
        <v>12</v>
      </c>
      <c r="G1180">
        <v>3</v>
      </c>
      <c r="H1180">
        <v>235000</v>
      </c>
      <c r="I1180">
        <v>0</v>
      </c>
      <c r="J1180" t="s">
        <v>21</v>
      </c>
      <c r="K1180" s="14">
        <f t="shared" si="18"/>
        <v>705000</v>
      </c>
    </row>
    <row r="1181" spans="1:11">
      <c r="A1181" t="s">
        <v>1258</v>
      </c>
      <c r="B1181" s="2">
        <v>45052</v>
      </c>
      <c r="C1181" t="s">
        <v>299</v>
      </c>
      <c r="D1181" t="s">
        <v>120</v>
      </c>
      <c r="E1181" t="s">
        <v>11</v>
      </c>
      <c r="F1181" t="s">
        <v>12</v>
      </c>
      <c r="G1181">
        <v>-1</v>
      </c>
      <c r="H1181">
        <v>440000</v>
      </c>
      <c r="I1181">
        <v>0</v>
      </c>
      <c r="J1181" t="s">
        <v>16</v>
      </c>
      <c r="K1181" s="14">
        <f t="shared" si="18"/>
        <v>-440000</v>
      </c>
    </row>
    <row r="1182" spans="1:11">
      <c r="A1182" t="s">
        <v>1259</v>
      </c>
      <c r="B1182" s="2">
        <v>45199</v>
      </c>
      <c r="C1182" t="s">
        <v>96</v>
      </c>
      <c r="D1182" t="s">
        <v>97</v>
      </c>
      <c r="E1182" t="s">
        <v>98</v>
      </c>
      <c r="F1182" t="s">
        <v>12</v>
      </c>
      <c r="G1182">
        <v>1</v>
      </c>
      <c r="H1182">
        <v>170000</v>
      </c>
      <c r="I1182">
        <v>0</v>
      </c>
      <c r="J1182" t="s">
        <v>21</v>
      </c>
      <c r="K1182" s="14">
        <f t="shared" si="18"/>
        <v>170000</v>
      </c>
    </row>
    <row r="1183" spans="1:11">
      <c r="A1183" t="s">
        <v>1260</v>
      </c>
      <c r="B1183" s="2">
        <v>45035</v>
      </c>
      <c r="C1183" t="s">
        <v>49</v>
      </c>
      <c r="D1183" t="s">
        <v>50</v>
      </c>
      <c r="E1183" t="s">
        <v>29</v>
      </c>
      <c r="F1183" t="s">
        <v>62</v>
      </c>
      <c r="G1183">
        <v>1</v>
      </c>
      <c r="H1183">
        <v>220000</v>
      </c>
      <c r="I1183">
        <v>5</v>
      </c>
      <c r="J1183" t="s">
        <v>16</v>
      </c>
      <c r="K1183" s="14">
        <f t="shared" si="18"/>
        <v>209000</v>
      </c>
    </row>
    <row r="1184" spans="1:11">
      <c r="A1184" t="s">
        <v>1261</v>
      </c>
      <c r="B1184" s="2">
        <v>45244</v>
      </c>
      <c r="C1184" t="s">
        <v>27</v>
      </c>
      <c r="D1184" t="s">
        <v>28</v>
      </c>
      <c r="E1184" t="s">
        <v>29</v>
      </c>
      <c r="F1184" t="s">
        <v>12</v>
      </c>
      <c r="G1184">
        <v>4</v>
      </c>
      <c r="H1184">
        <v>210000</v>
      </c>
      <c r="I1184">
        <v>10</v>
      </c>
      <c r="J1184" t="s">
        <v>16</v>
      </c>
      <c r="K1184" s="14">
        <f t="shared" si="18"/>
        <v>756000</v>
      </c>
    </row>
    <row r="1185" spans="1:11">
      <c r="A1185" t="s">
        <v>1262</v>
      </c>
      <c r="B1185" s="2">
        <v>45032</v>
      </c>
      <c r="C1185" t="s">
        <v>101</v>
      </c>
      <c r="D1185" t="s">
        <v>102</v>
      </c>
      <c r="E1185" t="s">
        <v>11</v>
      </c>
      <c r="F1185" t="s">
        <v>12</v>
      </c>
      <c r="G1185">
        <v>3</v>
      </c>
      <c r="H1185">
        <v>430000</v>
      </c>
      <c r="I1185">
        <v>10</v>
      </c>
      <c r="J1185" t="s">
        <v>71</v>
      </c>
      <c r="K1185" s="14">
        <f t="shared" si="18"/>
        <v>1161000</v>
      </c>
    </row>
    <row r="1186" spans="1:11">
      <c r="A1186" t="s">
        <v>1263</v>
      </c>
      <c r="B1186" s="2">
        <v>45124</v>
      </c>
      <c r="C1186" t="s">
        <v>119</v>
      </c>
      <c r="D1186" t="s">
        <v>120</v>
      </c>
      <c r="E1186" t="s">
        <v>11</v>
      </c>
      <c r="F1186" t="s">
        <v>68</v>
      </c>
      <c r="G1186">
        <v>1</v>
      </c>
      <c r="H1186">
        <v>440000</v>
      </c>
      <c r="I1186">
        <v>0</v>
      </c>
      <c r="J1186" t="s">
        <v>16</v>
      </c>
      <c r="K1186" s="14">
        <f t="shared" si="18"/>
        <v>440000</v>
      </c>
    </row>
    <row r="1187" spans="1:11">
      <c r="A1187" t="s">
        <v>1264</v>
      </c>
      <c r="B1187" s="2">
        <v>45172</v>
      </c>
      <c r="C1187" t="s">
        <v>38</v>
      </c>
      <c r="D1187" t="s">
        <v>39</v>
      </c>
      <c r="E1187" t="s">
        <v>40</v>
      </c>
      <c r="F1187" t="s">
        <v>12</v>
      </c>
      <c r="G1187">
        <v>2</v>
      </c>
      <c r="H1187">
        <v>320000</v>
      </c>
      <c r="I1187">
        <v>0</v>
      </c>
      <c r="J1187" t="s">
        <v>16</v>
      </c>
      <c r="K1187" s="14">
        <f t="shared" si="18"/>
        <v>640000</v>
      </c>
    </row>
    <row r="1188" spans="1:11">
      <c r="A1188" t="s">
        <v>1265</v>
      </c>
      <c r="B1188" s="2">
        <v>1228661</v>
      </c>
      <c r="C1188" t="s">
        <v>184</v>
      </c>
      <c r="D1188" t="s">
        <v>110</v>
      </c>
      <c r="E1188" t="s">
        <v>66</v>
      </c>
      <c r="F1188" t="s">
        <v>1268</v>
      </c>
      <c r="G1188">
        <v>2</v>
      </c>
      <c r="H1188">
        <v>335000</v>
      </c>
      <c r="I1188">
        <v>0</v>
      </c>
      <c r="J1188" t="s">
        <v>71</v>
      </c>
      <c r="K1188" s="14">
        <f>G1188*H1188*(1-I1188/100)</f>
        <v>670000</v>
      </c>
    </row>
    <row r="1189" spans="1:11">
      <c r="A1189" t="s">
        <v>1266</v>
      </c>
      <c r="B1189" s="2">
        <v>45086</v>
      </c>
      <c r="C1189" t="s">
        <v>15</v>
      </c>
      <c r="D1189" t="s">
        <v>10</v>
      </c>
      <c r="E1189" t="s">
        <v>11</v>
      </c>
      <c r="F1189" t="s">
        <v>68</v>
      </c>
      <c r="G1189">
        <v>2</v>
      </c>
      <c r="H1189">
        <v>420000</v>
      </c>
      <c r="I1189">
        <v>0</v>
      </c>
      <c r="J1189" t="s">
        <v>21</v>
      </c>
      <c r="K1189" s="14">
        <f t="shared" si="18"/>
        <v>840000</v>
      </c>
    </row>
    <row r="1190" spans="1:11">
      <c r="A1190" t="s">
        <v>1267</v>
      </c>
      <c r="B1190" s="2">
        <v>45228</v>
      </c>
      <c r="C1190" t="s">
        <v>139</v>
      </c>
      <c r="D1190" t="s">
        <v>61</v>
      </c>
      <c r="E1190" t="s">
        <v>20</v>
      </c>
      <c r="F1190" t="s">
        <v>12</v>
      </c>
      <c r="G1190">
        <v>4</v>
      </c>
      <c r="H1190">
        <v>260000</v>
      </c>
      <c r="I1190">
        <v>0</v>
      </c>
      <c r="J1190" t="s">
        <v>13</v>
      </c>
      <c r="K1190" s="14">
        <f t="shared" si="18"/>
        <v>1040000</v>
      </c>
    </row>
  </sheetData>
  <phoneticPr fontId="7" type="noConversion"/>
  <conditionalFormatting sqref="A2:K273 A275:K472 A274:D274 F274:K274 A474:K1190 A473:D473 F473:K473">
    <cfRule type="cellIs" dxfId="1" priority="1" operator="lessThan">
      <formula>0</formula>
    </cfRule>
    <cfRule type="expression" dxfId="0" priority="2">
      <formula>"where 0&lt;"</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2B0DE-D07F-4DA5-89C2-74B39C7B8C15}">
  <dimension ref="A1:I41"/>
  <sheetViews>
    <sheetView workbookViewId="0">
      <selection activeCell="L20" sqref="L20"/>
    </sheetView>
  </sheetViews>
  <sheetFormatPr defaultRowHeight="14.25"/>
  <cols>
    <col min="1" max="1" width="14.265625" customWidth="1"/>
    <col min="2" max="2" width="22.1328125" customWidth="1"/>
    <col min="3" max="3" width="19.9296875" customWidth="1"/>
    <col min="5" max="5" width="11.33203125" customWidth="1"/>
    <col min="6" max="6" width="10" customWidth="1"/>
    <col min="7" max="7" width="10.796875" customWidth="1"/>
    <col min="8" max="8" width="14.796875" customWidth="1"/>
    <col min="9" max="9" width="12.6640625" customWidth="1"/>
  </cols>
  <sheetData>
    <row r="1" spans="1:9">
      <c r="A1" t="s">
        <v>1269</v>
      </c>
      <c r="B1" t="s">
        <v>1470</v>
      </c>
      <c r="C1" t="s">
        <v>3</v>
      </c>
      <c r="D1" t="s">
        <v>1271</v>
      </c>
      <c r="E1" t="s">
        <v>1272</v>
      </c>
      <c r="F1" t="s">
        <v>1273</v>
      </c>
      <c r="G1" t="s">
        <v>1274</v>
      </c>
      <c r="H1" t="s">
        <v>1275</v>
      </c>
      <c r="I1" t="s">
        <v>1276</v>
      </c>
    </row>
    <row r="2" spans="1:9">
      <c r="A2" t="s">
        <v>88</v>
      </c>
      <c r="B2" t="s">
        <v>10</v>
      </c>
      <c r="C2" t="s">
        <v>11</v>
      </c>
      <c r="D2" t="s">
        <v>1277</v>
      </c>
      <c r="E2" t="s">
        <v>62</v>
      </c>
      <c r="F2">
        <v>185000</v>
      </c>
      <c r="G2">
        <v>420000</v>
      </c>
      <c r="H2" t="s">
        <v>1278</v>
      </c>
      <c r="I2" t="s">
        <v>1279</v>
      </c>
    </row>
    <row r="3" spans="1:9">
      <c r="A3" t="s">
        <v>215</v>
      </c>
      <c r="B3" t="s">
        <v>10</v>
      </c>
      <c r="C3" t="s">
        <v>11</v>
      </c>
      <c r="D3" t="s">
        <v>1277</v>
      </c>
      <c r="E3" t="s">
        <v>12</v>
      </c>
      <c r="F3">
        <v>185000</v>
      </c>
      <c r="G3">
        <v>420000</v>
      </c>
      <c r="H3" t="s">
        <v>1278</v>
      </c>
      <c r="I3" t="s">
        <v>1279</v>
      </c>
    </row>
    <row r="4" spans="1:9">
      <c r="A4" t="s">
        <v>15</v>
      </c>
      <c r="B4" t="s">
        <v>10</v>
      </c>
      <c r="C4" t="s">
        <v>11</v>
      </c>
      <c r="D4" t="s">
        <v>1277</v>
      </c>
      <c r="E4" t="s">
        <v>68</v>
      </c>
      <c r="F4">
        <v>185000</v>
      </c>
      <c r="G4">
        <v>420000</v>
      </c>
      <c r="H4" t="s">
        <v>1278</v>
      </c>
      <c r="I4" t="s">
        <v>1279</v>
      </c>
    </row>
    <row r="5" spans="1:9">
      <c r="A5" t="s">
        <v>49</v>
      </c>
      <c r="B5" t="s">
        <v>50</v>
      </c>
      <c r="C5" t="s">
        <v>29</v>
      </c>
      <c r="D5" t="s">
        <v>1280</v>
      </c>
      <c r="E5" t="s">
        <v>62</v>
      </c>
      <c r="F5">
        <v>95000</v>
      </c>
      <c r="G5">
        <v>220000</v>
      </c>
      <c r="H5" t="s">
        <v>1281</v>
      </c>
      <c r="I5" t="s">
        <v>1279</v>
      </c>
    </row>
    <row r="6" spans="1:9">
      <c r="A6" t="s">
        <v>228</v>
      </c>
      <c r="B6" t="s">
        <v>50</v>
      </c>
      <c r="C6" t="s">
        <v>29</v>
      </c>
      <c r="D6" t="s">
        <v>1280</v>
      </c>
      <c r="E6" t="s">
        <v>12</v>
      </c>
      <c r="F6">
        <v>95000</v>
      </c>
      <c r="G6">
        <v>220000</v>
      </c>
      <c r="H6" t="s">
        <v>1281</v>
      </c>
      <c r="I6" t="s">
        <v>1268</v>
      </c>
    </row>
    <row r="7" spans="1:9">
      <c r="A7" t="s">
        <v>94</v>
      </c>
      <c r="B7" t="s">
        <v>50</v>
      </c>
      <c r="C7" t="s">
        <v>29</v>
      </c>
      <c r="D7" t="s">
        <v>1280</v>
      </c>
      <c r="E7" t="s">
        <v>68</v>
      </c>
      <c r="F7">
        <v>95000</v>
      </c>
      <c r="G7">
        <v>220000</v>
      </c>
      <c r="H7" t="s">
        <v>1281</v>
      </c>
      <c r="I7" t="s">
        <v>1268</v>
      </c>
    </row>
    <row r="8" spans="1:9">
      <c r="A8" t="s">
        <v>75</v>
      </c>
      <c r="B8" t="s">
        <v>32</v>
      </c>
      <c r="C8" t="s">
        <v>29</v>
      </c>
      <c r="D8" t="s">
        <v>1282</v>
      </c>
      <c r="E8" t="s">
        <v>12</v>
      </c>
      <c r="F8">
        <v>95000</v>
      </c>
      <c r="G8">
        <v>215000</v>
      </c>
      <c r="H8" t="s">
        <v>1281</v>
      </c>
      <c r="I8" t="s">
        <v>1279</v>
      </c>
    </row>
    <row r="9" spans="1:9">
      <c r="A9" t="s">
        <v>31</v>
      </c>
      <c r="B9" t="s">
        <v>32</v>
      </c>
      <c r="C9" t="s">
        <v>29</v>
      </c>
      <c r="D9" t="s">
        <v>1282</v>
      </c>
      <c r="E9" t="s">
        <v>68</v>
      </c>
      <c r="F9">
        <v>95000</v>
      </c>
      <c r="G9">
        <v>215000</v>
      </c>
      <c r="H9" t="s">
        <v>1281</v>
      </c>
      <c r="I9" t="s">
        <v>1268</v>
      </c>
    </row>
    <row r="10" spans="1:9">
      <c r="A10" t="s">
        <v>27</v>
      </c>
      <c r="B10" t="s">
        <v>28</v>
      </c>
      <c r="C10" t="s">
        <v>29</v>
      </c>
      <c r="D10" t="s">
        <v>1283</v>
      </c>
      <c r="E10" t="s">
        <v>12</v>
      </c>
      <c r="F10">
        <v>95000</v>
      </c>
      <c r="G10">
        <v>210000</v>
      </c>
      <c r="H10" t="s">
        <v>1281</v>
      </c>
      <c r="I10" t="s">
        <v>1284</v>
      </c>
    </row>
    <row r="11" spans="1:9">
      <c r="A11" t="s">
        <v>104</v>
      </c>
      <c r="B11" t="s">
        <v>105</v>
      </c>
      <c r="C11" t="s">
        <v>29</v>
      </c>
      <c r="D11" t="s">
        <v>1285</v>
      </c>
      <c r="E11" t="s">
        <v>12</v>
      </c>
      <c r="F11">
        <v>95000</v>
      </c>
      <c r="G11">
        <v>210000</v>
      </c>
      <c r="H11" t="s">
        <v>1281</v>
      </c>
      <c r="I11" t="s">
        <v>1279</v>
      </c>
    </row>
    <row r="12" spans="1:9">
      <c r="A12" t="s">
        <v>38</v>
      </c>
      <c r="B12" t="s">
        <v>39</v>
      </c>
      <c r="C12" t="s">
        <v>40</v>
      </c>
      <c r="D12" t="s">
        <v>1286</v>
      </c>
      <c r="E12" t="s">
        <v>12</v>
      </c>
      <c r="F12">
        <v>140000</v>
      </c>
      <c r="G12">
        <v>320000</v>
      </c>
      <c r="H12" t="s">
        <v>1287</v>
      </c>
      <c r="I12" t="s">
        <v>1279</v>
      </c>
    </row>
    <row r="13" spans="1:9">
      <c r="A13" t="s">
        <v>173</v>
      </c>
      <c r="B13" t="s">
        <v>39</v>
      </c>
      <c r="C13" t="s">
        <v>40</v>
      </c>
      <c r="D13" t="s">
        <v>1286</v>
      </c>
      <c r="E13" t="s">
        <v>68</v>
      </c>
      <c r="F13">
        <v>140000</v>
      </c>
      <c r="G13">
        <v>320000</v>
      </c>
      <c r="H13" t="s">
        <v>1287</v>
      </c>
      <c r="I13" t="s">
        <v>1284</v>
      </c>
    </row>
    <row r="14" spans="1:9">
      <c r="A14" t="s">
        <v>131</v>
      </c>
      <c r="B14" t="s">
        <v>132</v>
      </c>
      <c r="C14" t="s">
        <v>20</v>
      </c>
      <c r="D14" t="s">
        <v>1288</v>
      </c>
      <c r="E14" t="s">
        <v>12</v>
      </c>
      <c r="F14">
        <v>120000</v>
      </c>
      <c r="G14">
        <v>280000</v>
      </c>
      <c r="H14" t="s">
        <v>1287</v>
      </c>
      <c r="I14" t="s">
        <v>1279</v>
      </c>
    </row>
    <row r="15" spans="1:9">
      <c r="A15" t="s">
        <v>60</v>
      </c>
      <c r="B15" t="s">
        <v>61</v>
      </c>
      <c r="C15" t="s">
        <v>20</v>
      </c>
      <c r="D15" t="s">
        <v>1289</v>
      </c>
      <c r="E15" t="s">
        <v>62</v>
      </c>
      <c r="F15">
        <v>110000</v>
      </c>
      <c r="G15">
        <v>260000</v>
      </c>
      <c r="H15" t="s">
        <v>1287</v>
      </c>
      <c r="I15" t="s">
        <v>1284</v>
      </c>
    </row>
    <row r="16" spans="1:9">
      <c r="A16" t="s">
        <v>139</v>
      </c>
      <c r="B16" t="s">
        <v>61</v>
      </c>
      <c r="C16" t="s">
        <v>20</v>
      </c>
      <c r="D16" t="s">
        <v>1289</v>
      </c>
      <c r="E16" t="s">
        <v>12</v>
      </c>
      <c r="F16">
        <v>110000</v>
      </c>
      <c r="G16">
        <v>260000</v>
      </c>
      <c r="H16" t="s">
        <v>1287</v>
      </c>
      <c r="I16" t="s">
        <v>1279</v>
      </c>
    </row>
    <row r="17" spans="1:9">
      <c r="A17" t="s">
        <v>46</v>
      </c>
      <c r="B17" t="s">
        <v>44</v>
      </c>
      <c r="C17" t="s">
        <v>29</v>
      </c>
      <c r="D17" t="s">
        <v>1291</v>
      </c>
      <c r="E17" t="s">
        <v>12</v>
      </c>
      <c r="F17">
        <v>105000</v>
      </c>
      <c r="G17">
        <v>235000</v>
      </c>
      <c r="H17" t="s">
        <v>1281</v>
      </c>
      <c r="I17" t="s">
        <v>1279</v>
      </c>
    </row>
    <row r="18" spans="1:9">
      <c r="A18" t="s">
        <v>43</v>
      </c>
      <c r="B18" t="s">
        <v>44</v>
      </c>
      <c r="C18" t="s">
        <v>29</v>
      </c>
      <c r="D18" t="s">
        <v>1291</v>
      </c>
      <c r="E18" t="s">
        <v>68</v>
      </c>
      <c r="F18">
        <v>105000</v>
      </c>
      <c r="G18">
        <v>235000</v>
      </c>
      <c r="H18" t="s">
        <v>1281</v>
      </c>
      <c r="I18" t="s">
        <v>1284</v>
      </c>
    </row>
    <row r="19" spans="1:9">
      <c r="A19" t="s">
        <v>250</v>
      </c>
      <c r="B19" t="s">
        <v>53</v>
      </c>
      <c r="C19" t="s">
        <v>36</v>
      </c>
      <c r="D19" t="s">
        <v>1289</v>
      </c>
      <c r="E19" t="s">
        <v>62</v>
      </c>
      <c r="F19">
        <v>85000</v>
      </c>
      <c r="G19">
        <v>195000</v>
      </c>
      <c r="H19" t="s">
        <v>1292</v>
      </c>
      <c r="I19" t="s">
        <v>1268</v>
      </c>
    </row>
    <row r="20" spans="1:9">
      <c r="A20" t="s">
        <v>52</v>
      </c>
      <c r="B20" t="s">
        <v>53</v>
      </c>
      <c r="C20" t="s">
        <v>36</v>
      </c>
      <c r="D20" t="s">
        <v>1289</v>
      </c>
      <c r="E20" t="s">
        <v>12</v>
      </c>
      <c r="F20">
        <v>85000</v>
      </c>
      <c r="G20">
        <v>195000</v>
      </c>
      <c r="H20" t="s">
        <v>1292</v>
      </c>
      <c r="I20" t="s">
        <v>1279</v>
      </c>
    </row>
    <row r="21" spans="1:9">
      <c r="A21" t="s">
        <v>34</v>
      </c>
      <c r="B21" t="s">
        <v>35</v>
      </c>
      <c r="C21" t="s">
        <v>36</v>
      </c>
      <c r="D21" t="s">
        <v>1285</v>
      </c>
      <c r="E21" t="s">
        <v>12</v>
      </c>
      <c r="F21">
        <v>88000</v>
      </c>
      <c r="G21">
        <v>198000</v>
      </c>
      <c r="H21" t="s">
        <v>1292</v>
      </c>
      <c r="I21" t="s">
        <v>1279</v>
      </c>
    </row>
    <row r="22" spans="1:9">
      <c r="A22" t="s">
        <v>133</v>
      </c>
      <c r="B22" t="s">
        <v>102</v>
      </c>
      <c r="C22" t="s">
        <v>11</v>
      </c>
      <c r="D22" t="s">
        <v>1294</v>
      </c>
      <c r="E22" t="s">
        <v>62</v>
      </c>
      <c r="F22">
        <v>190000</v>
      </c>
      <c r="G22">
        <v>430000</v>
      </c>
      <c r="H22" t="s">
        <v>1278</v>
      </c>
      <c r="I22" t="s">
        <v>1279</v>
      </c>
    </row>
    <row r="23" spans="1:9">
      <c r="A23" t="s">
        <v>101</v>
      </c>
      <c r="B23" t="s">
        <v>102</v>
      </c>
      <c r="C23" t="s">
        <v>11</v>
      </c>
      <c r="D23" t="s">
        <v>1294</v>
      </c>
      <c r="E23" t="s">
        <v>12</v>
      </c>
      <c r="F23">
        <v>190000</v>
      </c>
      <c r="G23">
        <v>430000</v>
      </c>
      <c r="H23" t="s">
        <v>1278</v>
      </c>
      <c r="I23" t="s">
        <v>1268</v>
      </c>
    </row>
    <row r="24" spans="1:9">
      <c r="A24" t="s">
        <v>299</v>
      </c>
      <c r="B24" t="s">
        <v>120</v>
      </c>
      <c r="C24" t="s">
        <v>11</v>
      </c>
      <c r="D24" t="s">
        <v>1295</v>
      </c>
      <c r="E24" t="s">
        <v>12</v>
      </c>
      <c r="F24">
        <v>195000</v>
      </c>
      <c r="G24">
        <v>440000</v>
      </c>
      <c r="H24" t="s">
        <v>1278</v>
      </c>
      <c r="I24" t="s">
        <v>1279</v>
      </c>
    </row>
    <row r="25" spans="1:9">
      <c r="A25" t="s">
        <v>119</v>
      </c>
      <c r="B25" t="s">
        <v>120</v>
      </c>
      <c r="C25" t="s">
        <v>11</v>
      </c>
      <c r="D25" t="s">
        <v>1295</v>
      </c>
      <c r="E25" t="s">
        <v>68</v>
      </c>
      <c r="F25">
        <v>195000</v>
      </c>
      <c r="G25">
        <v>440000</v>
      </c>
      <c r="H25" t="s">
        <v>1278</v>
      </c>
      <c r="I25" t="s">
        <v>1268</v>
      </c>
    </row>
    <row r="26" spans="1:9">
      <c r="A26" t="s">
        <v>242</v>
      </c>
      <c r="B26" t="s">
        <v>97</v>
      </c>
      <c r="C26" t="s">
        <v>98</v>
      </c>
      <c r="D26" t="s">
        <v>1296</v>
      </c>
      <c r="E26" t="s">
        <v>62</v>
      </c>
      <c r="F26">
        <v>75000</v>
      </c>
      <c r="G26">
        <v>170000</v>
      </c>
      <c r="H26" t="s">
        <v>1292</v>
      </c>
      <c r="I26" t="s">
        <v>1268</v>
      </c>
    </row>
    <row r="27" spans="1:9">
      <c r="A27" t="s">
        <v>96</v>
      </c>
      <c r="B27" t="s">
        <v>97</v>
      </c>
      <c r="C27" t="s">
        <v>98</v>
      </c>
      <c r="D27" t="s">
        <v>1296</v>
      </c>
      <c r="E27" t="s">
        <v>12</v>
      </c>
      <c r="F27">
        <v>75000</v>
      </c>
      <c r="G27">
        <v>170000</v>
      </c>
      <c r="H27" t="s">
        <v>1292</v>
      </c>
      <c r="I27" t="s">
        <v>1279</v>
      </c>
    </row>
    <row r="28" spans="1:9">
      <c r="A28" t="s">
        <v>64</v>
      </c>
      <c r="B28" t="s">
        <v>65</v>
      </c>
      <c r="C28" t="s">
        <v>66</v>
      </c>
      <c r="D28" t="s">
        <v>1297</v>
      </c>
      <c r="E28" t="s">
        <v>62</v>
      </c>
      <c r="F28">
        <v>130000</v>
      </c>
      <c r="G28">
        <v>295000</v>
      </c>
      <c r="H28" t="s">
        <v>1292</v>
      </c>
      <c r="I28" t="s">
        <v>1268</v>
      </c>
    </row>
    <row r="29" spans="1:9">
      <c r="A29" t="s">
        <v>70</v>
      </c>
      <c r="B29" t="s">
        <v>65</v>
      </c>
      <c r="C29" t="s">
        <v>66</v>
      </c>
      <c r="D29" t="s">
        <v>1297</v>
      </c>
      <c r="E29" t="s">
        <v>12</v>
      </c>
      <c r="F29">
        <v>130000</v>
      </c>
      <c r="G29">
        <v>295000</v>
      </c>
      <c r="H29" t="s">
        <v>1292</v>
      </c>
      <c r="I29" t="s">
        <v>1279</v>
      </c>
    </row>
    <row r="30" spans="1:9">
      <c r="A30" t="s">
        <v>144</v>
      </c>
      <c r="B30" t="s">
        <v>142</v>
      </c>
      <c r="C30" t="s">
        <v>66</v>
      </c>
      <c r="D30" t="s">
        <v>1298</v>
      </c>
      <c r="E30" t="s">
        <v>12</v>
      </c>
      <c r="F30">
        <v>145000</v>
      </c>
      <c r="G30">
        <v>330000</v>
      </c>
      <c r="H30" t="s">
        <v>1292</v>
      </c>
      <c r="I30" t="s">
        <v>1279</v>
      </c>
    </row>
    <row r="31" spans="1:9">
      <c r="A31" t="s">
        <v>184</v>
      </c>
      <c r="B31" t="s">
        <v>110</v>
      </c>
      <c r="C31" t="s">
        <v>66</v>
      </c>
      <c r="D31" t="s">
        <v>1299</v>
      </c>
      <c r="E31" t="s">
        <v>12</v>
      </c>
      <c r="F31">
        <v>145000</v>
      </c>
      <c r="G31">
        <v>335000</v>
      </c>
      <c r="H31" t="s">
        <v>1292</v>
      </c>
      <c r="I31" t="s">
        <v>1279</v>
      </c>
    </row>
    <row r="32" spans="1:9">
      <c r="A32" t="s">
        <v>153</v>
      </c>
      <c r="B32" t="s">
        <v>83</v>
      </c>
      <c r="C32" t="s">
        <v>84</v>
      </c>
      <c r="D32" t="s">
        <v>1300</v>
      </c>
      <c r="E32" t="s">
        <v>12</v>
      </c>
      <c r="F32">
        <v>175000</v>
      </c>
      <c r="G32">
        <v>395000</v>
      </c>
      <c r="H32" t="s">
        <v>1292</v>
      </c>
      <c r="I32" t="s">
        <v>1279</v>
      </c>
    </row>
    <row r="33" spans="1:9">
      <c r="A33" t="s">
        <v>82</v>
      </c>
      <c r="B33" t="s">
        <v>83</v>
      </c>
      <c r="C33" t="s">
        <v>84</v>
      </c>
      <c r="D33" t="s">
        <v>1300</v>
      </c>
      <c r="E33" t="s">
        <v>68</v>
      </c>
      <c r="F33">
        <v>175000</v>
      </c>
      <c r="G33">
        <v>395000</v>
      </c>
      <c r="H33" t="s">
        <v>1292</v>
      </c>
      <c r="I33" t="s">
        <v>1279</v>
      </c>
    </row>
    <row r="34" spans="1:9">
      <c r="A34" t="s">
        <v>18</v>
      </c>
      <c r="B34" t="s">
        <v>19</v>
      </c>
      <c r="C34" t="s">
        <v>20</v>
      </c>
      <c r="D34" t="s">
        <v>1277</v>
      </c>
      <c r="E34" t="s">
        <v>12</v>
      </c>
      <c r="F34">
        <v>130000</v>
      </c>
      <c r="G34">
        <v>265000</v>
      </c>
      <c r="H34" t="s">
        <v>1292</v>
      </c>
      <c r="I34" t="s">
        <v>1279</v>
      </c>
    </row>
    <row r="35" spans="1:9">
      <c r="A35" t="s">
        <v>122</v>
      </c>
      <c r="B35" t="s">
        <v>123</v>
      </c>
      <c r="C35" t="s">
        <v>124</v>
      </c>
      <c r="D35" t="s">
        <v>1297</v>
      </c>
      <c r="E35" t="s">
        <v>12</v>
      </c>
      <c r="F35">
        <v>100000</v>
      </c>
      <c r="G35">
        <v>228000</v>
      </c>
      <c r="H35" t="s">
        <v>1292</v>
      </c>
      <c r="I35" t="s">
        <v>1284</v>
      </c>
    </row>
    <row r="36" spans="1:9">
      <c r="A36" t="s">
        <v>55</v>
      </c>
      <c r="B36" t="s">
        <v>56</v>
      </c>
      <c r="C36" t="s">
        <v>57</v>
      </c>
      <c r="D36" t="s">
        <v>1289</v>
      </c>
      <c r="E36" t="s">
        <v>62</v>
      </c>
      <c r="F36">
        <v>45000</v>
      </c>
      <c r="G36">
        <v>105000</v>
      </c>
      <c r="H36" t="s">
        <v>1292</v>
      </c>
      <c r="I36" t="s">
        <v>1279</v>
      </c>
    </row>
    <row r="37" spans="1:9">
      <c r="A37" t="s">
        <v>108</v>
      </c>
      <c r="B37" t="s">
        <v>56</v>
      </c>
      <c r="C37" t="s">
        <v>57</v>
      </c>
      <c r="D37" t="s">
        <v>1289</v>
      </c>
      <c r="E37" t="s">
        <v>12</v>
      </c>
      <c r="F37">
        <v>45000</v>
      </c>
      <c r="G37">
        <v>105000</v>
      </c>
      <c r="H37" t="s">
        <v>1292</v>
      </c>
      <c r="I37" t="s">
        <v>1279</v>
      </c>
    </row>
    <row r="38" spans="1:9">
      <c r="A38" t="s">
        <v>162</v>
      </c>
      <c r="B38" t="s">
        <v>56</v>
      </c>
      <c r="C38" t="s">
        <v>57</v>
      </c>
      <c r="D38" t="s">
        <v>1289</v>
      </c>
      <c r="E38" t="s">
        <v>68</v>
      </c>
      <c r="F38">
        <v>45000</v>
      </c>
      <c r="G38">
        <v>105000</v>
      </c>
      <c r="H38" t="s">
        <v>1292</v>
      </c>
      <c r="I38" t="s">
        <v>1279</v>
      </c>
    </row>
    <row r="39" spans="1:9">
      <c r="A39" t="s">
        <v>147</v>
      </c>
      <c r="B39" t="s">
        <v>148</v>
      </c>
      <c r="C39" t="s">
        <v>66</v>
      </c>
      <c r="D39" t="s">
        <v>1291</v>
      </c>
      <c r="E39" t="s">
        <v>12</v>
      </c>
      <c r="F39">
        <v>135000</v>
      </c>
      <c r="G39">
        <v>305000</v>
      </c>
      <c r="H39" t="s">
        <v>1292</v>
      </c>
      <c r="I39" t="s">
        <v>1284</v>
      </c>
    </row>
    <row r="40" spans="1:9">
      <c r="A40" t="s">
        <v>90</v>
      </c>
      <c r="B40" t="s">
        <v>91</v>
      </c>
      <c r="C40" t="s">
        <v>11</v>
      </c>
      <c r="D40" t="s">
        <v>1301</v>
      </c>
      <c r="E40" t="s">
        <v>12</v>
      </c>
      <c r="F40">
        <v>195000</v>
      </c>
      <c r="G40">
        <v>425000</v>
      </c>
      <c r="H40" t="s">
        <v>1292</v>
      </c>
      <c r="I40" t="s">
        <v>1302</v>
      </c>
    </row>
    <row r="41" spans="1:9">
      <c r="A41" t="s">
        <v>23</v>
      </c>
      <c r="B41" t="s">
        <v>24</v>
      </c>
      <c r="C41" t="s">
        <v>25</v>
      </c>
      <c r="D41" t="s">
        <v>1303</v>
      </c>
      <c r="E41" t="s">
        <v>12</v>
      </c>
      <c r="F41">
        <v>80000</v>
      </c>
      <c r="G41">
        <v>182000</v>
      </c>
      <c r="H41" t="s">
        <v>1292</v>
      </c>
      <c r="I41" t="s">
        <v>1302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9ED3-AF5F-442D-8E2B-FDAA77B78560}">
  <dimension ref="A1:H41"/>
  <sheetViews>
    <sheetView workbookViewId="0">
      <selection activeCell="K38" sqref="K38"/>
    </sheetView>
  </sheetViews>
  <sheetFormatPr defaultRowHeight="14.25"/>
  <cols>
    <col min="1" max="1" width="11.33203125" customWidth="1"/>
    <col min="2" max="2" width="13.59765625" customWidth="1"/>
    <col min="3" max="3" width="14.265625" customWidth="1"/>
    <col min="4" max="4" width="16.6640625" style="2" customWidth="1"/>
    <col min="5" max="5" width="15.73046875" customWidth="1"/>
    <col min="6" max="6" width="12.6640625" customWidth="1"/>
    <col min="7" max="7" width="16.9296875" customWidth="1"/>
  </cols>
  <sheetData>
    <row r="1" spans="1:8">
      <c r="A1" t="s">
        <v>1269</v>
      </c>
      <c r="B1" t="s">
        <v>1304</v>
      </c>
      <c r="C1" t="s">
        <v>1305</v>
      </c>
      <c r="D1" s="2" t="s">
        <v>1306</v>
      </c>
      <c r="E1" t="s">
        <v>1307</v>
      </c>
      <c r="F1" t="s">
        <v>1308</v>
      </c>
      <c r="G1" t="s">
        <v>1309</v>
      </c>
      <c r="H1" t="s">
        <v>1310</v>
      </c>
    </row>
    <row r="2" spans="1:8">
      <c r="A2" t="s">
        <v>88</v>
      </c>
      <c r="B2">
        <v>82</v>
      </c>
      <c r="C2">
        <v>82</v>
      </c>
      <c r="D2" s="2">
        <v>44866</v>
      </c>
      <c r="E2">
        <v>3</v>
      </c>
      <c r="F2">
        <v>8</v>
      </c>
      <c r="G2" t="s">
        <v>1311</v>
      </c>
      <c r="H2" t="s">
        <v>1312</v>
      </c>
    </row>
    <row r="3" spans="1:8">
      <c r="A3" t="s">
        <v>215</v>
      </c>
      <c r="B3">
        <v>134</v>
      </c>
      <c r="C3">
        <v>134</v>
      </c>
      <c r="D3" s="2">
        <v>44898</v>
      </c>
      <c r="E3">
        <v>23</v>
      </c>
      <c r="F3">
        <v>5</v>
      </c>
      <c r="G3" t="s">
        <v>1311</v>
      </c>
    </row>
    <row r="4" spans="1:8">
      <c r="A4" t="s">
        <v>15</v>
      </c>
      <c r="B4">
        <v>33</v>
      </c>
      <c r="C4">
        <v>33</v>
      </c>
      <c r="D4" s="2">
        <v>44893</v>
      </c>
      <c r="E4">
        <v>4</v>
      </c>
      <c r="F4">
        <v>10</v>
      </c>
      <c r="G4" t="s">
        <v>1311</v>
      </c>
      <c r="H4" t="s">
        <v>1313</v>
      </c>
    </row>
    <row r="5" spans="1:8">
      <c r="A5" t="s">
        <v>49</v>
      </c>
      <c r="B5">
        <v>84</v>
      </c>
      <c r="C5">
        <v>39</v>
      </c>
      <c r="D5" s="2">
        <v>44845</v>
      </c>
      <c r="E5">
        <v>13</v>
      </c>
      <c r="F5">
        <v>8</v>
      </c>
      <c r="H5" t="s">
        <v>1314</v>
      </c>
    </row>
    <row r="6" spans="1:8">
      <c r="A6" t="s">
        <v>228</v>
      </c>
      <c r="B6">
        <v>51</v>
      </c>
      <c r="C6">
        <v>51</v>
      </c>
      <c r="D6" s="2">
        <v>44838</v>
      </c>
      <c r="E6">
        <v>22</v>
      </c>
      <c r="F6">
        <v>11</v>
      </c>
      <c r="G6" t="s">
        <v>1311</v>
      </c>
      <c r="H6" t="s">
        <v>1315</v>
      </c>
    </row>
    <row r="7" spans="1:8">
      <c r="A7" t="s">
        <v>94</v>
      </c>
      <c r="B7">
        <v>146</v>
      </c>
      <c r="C7">
        <v>146</v>
      </c>
      <c r="D7" s="2">
        <v>44916</v>
      </c>
      <c r="E7">
        <v>40</v>
      </c>
      <c r="F7">
        <v>10</v>
      </c>
      <c r="G7" t="s">
        <v>1316</v>
      </c>
      <c r="H7" t="s">
        <v>1312</v>
      </c>
    </row>
    <row r="8" spans="1:8">
      <c r="A8" t="s">
        <v>75</v>
      </c>
      <c r="B8">
        <v>135</v>
      </c>
      <c r="C8">
        <v>135</v>
      </c>
      <c r="D8" s="2">
        <v>44915</v>
      </c>
      <c r="E8">
        <v>9</v>
      </c>
      <c r="F8">
        <v>11</v>
      </c>
      <c r="G8" t="s">
        <v>1311</v>
      </c>
    </row>
    <row r="9" spans="1:8">
      <c r="A9" t="s">
        <v>31</v>
      </c>
      <c r="B9">
        <v>119</v>
      </c>
      <c r="C9">
        <v>119</v>
      </c>
      <c r="D9" s="2">
        <v>44915</v>
      </c>
      <c r="F9">
        <v>10</v>
      </c>
      <c r="G9" t="s">
        <v>1316</v>
      </c>
      <c r="H9" t="s">
        <v>1317</v>
      </c>
    </row>
    <row r="10" spans="1:8">
      <c r="A10" t="s">
        <v>27</v>
      </c>
      <c r="B10">
        <v>58</v>
      </c>
      <c r="C10">
        <v>58</v>
      </c>
      <c r="D10" s="2">
        <v>44879</v>
      </c>
      <c r="E10">
        <v>2</v>
      </c>
      <c r="F10">
        <v>7</v>
      </c>
      <c r="G10" t="s">
        <v>1311</v>
      </c>
    </row>
    <row r="11" spans="1:8">
      <c r="A11" t="s">
        <v>104</v>
      </c>
      <c r="B11">
        <v>95</v>
      </c>
      <c r="C11">
        <v>95</v>
      </c>
      <c r="D11" s="2">
        <v>44911</v>
      </c>
      <c r="E11">
        <v>10</v>
      </c>
      <c r="F11">
        <v>8</v>
      </c>
      <c r="G11" t="s">
        <v>1311</v>
      </c>
    </row>
    <row r="12" spans="1:8">
      <c r="A12" t="s">
        <v>38</v>
      </c>
      <c r="B12">
        <v>92</v>
      </c>
      <c r="C12">
        <v>92</v>
      </c>
      <c r="D12" s="2">
        <v>44869</v>
      </c>
      <c r="E12">
        <v>35</v>
      </c>
      <c r="F12">
        <v>16</v>
      </c>
      <c r="G12" t="s">
        <v>1311</v>
      </c>
    </row>
    <row r="13" spans="1:8">
      <c r="A13" t="s">
        <v>173</v>
      </c>
      <c r="B13">
        <v>139</v>
      </c>
      <c r="C13">
        <v>139</v>
      </c>
      <c r="D13" s="2">
        <v>44909</v>
      </c>
      <c r="E13">
        <v>16</v>
      </c>
      <c r="F13">
        <v>13</v>
      </c>
      <c r="G13" t="s">
        <v>1316</v>
      </c>
    </row>
    <row r="14" spans="1:8">
      <c r="A14" t="s">
        <v>131</v>
      </c>
      <c r="B14">
        <v>46</v>
      </c>
      <c r="C14">
        <v>46</v>
      </c>
      <c r="D14" s="2">
        <v>44857</v>
      </c>
      <c r="E14">
        <v>10</v>
      </c>
      <c r="F14">
        <v>9</v>
      </c>
      <c r="G14" t="s">
        <v>1316</v>
      </c>
    </row>
    <row r="15" spans="1:8">
      <c r="A15" t="s">
        <v>60</v>
      </c>
      <c r="B15">
        <v>62</v>
      </c>
      <c r="C15">
        <v>62</v>
      </c>
      <c r="D15" s="2">
        <v>44883</v>
      </c>
      <c r="E15">
        <v>40</v>
      </c>
      <c r="F15">
        <v>9</v>
      </c>
      <c r="H15" t="s">
        <v>1318</v>
      </c>
    </row>
    <row r="16" spans="1:8">
      <c r="A16" t="s">
        <v>139</v>
      </c>
      <c r="B16">
        <v>37</v>
      </c>
      <c r="C16">
        <v>37</v>
      </c>
      <c r="D16" s="2">
        <v>44906</v>
      </c>
      <c r="E16">
        <v>3</v>
      </c>
      <c r="F16">
        <v>11</v>
      </c>
      <c r="G16" t="s">
        <v>1311</v>
      </c>
    </row>
    <row r="17" spans="1:8">
      <c r="A17" t="s">
        <v>46</v>
      </c>
      <c r="B17">
        <v>38</v>
      </c>
      <c r="C17">
        <v>38</v>
      </c>
      <c r="D17" s="2">
        <v>44852</v>
      </c>
      <c r="E17">
        <v>31</v>
      </c>
      <c r="F17">
        <v>6</v>
      </c>
      <c r="G17" t="s">
        <v>1311</v>
      </c>
      <c r="H17" t="s">
        <v>1312</v>
      </c>
    </row>
    <row r="18" spans="1:8">
      <c r="A18" t="s">
        <v>43</v>
      </c>
      <c r="B18">
        <v>139</v>
      </c>
      <c r="C18">
        <v>139</v>
      </c>
      <c r="E18">
        <v>20</v>
      </c>
      <c r="F18">
        <v>8</v>
      </c>
      <c r="G18" t="s">
        <v>1311</v>
      </c>
      <c r="H18" t="s">
        <v>1319</v>
      </c>
    </row>
    <row r="19" spans="1:8">
      <c r="A19" t="s">
        <v>250</v>
      </c>
      <c r="B19">
        <v>129</v>
      </c>
      <c r="C19">
        <v>129</v>
      </c>
      <c r="D19" s="2">
        <v>44887</v>
      </c>
      <c r="E19">
        <v>18</v>
      </c>
      <c r="F19">
        <v>6</v>
      </c>
      <c r="G19" t="s">
        <v>1316</v>
      </c>
      <c r="H19" t="s">
        <v>1314</v>
      </c>
    </row>
    <row r="20" spans="1:8">
      <c r="A20" t="s">
        <v>52</v>
      </c>
      <c r="B20">
        <v>79</v>
      </c>
      <c r="C20">
        <v>66</v>
      </c>
      <c r="D20" s="2">
        <v>44891</v>
      </c>
      <c r="F20">
        <v>20</v>
      </c>
      <c r="G20" t="s">
        <v>1311</v>
      </c>
      <c r="H20" t="s">
        <v>1320</v>
      </c>
    </row>
    <row r="21" spans="1:8">
      <c r="A21" t="s">
        <v>34</v>
      </c>
      <c r="B21">
        <v>77</v>
      </c>
      <c r="C21">
        <v>66</v>
      </c>
      <c r="D21" s="2">
        <v>44631</v>
      </c>
      <c r="E21">
        <v>21</v>
      </c>
      <c r="F21">
        <v>7</v>
      </c>
      <c r="H21" t="s">
        <v>1321</v>
      </c>
    </row>
    <row r="22" spans="1:8">
      <c r="A22" t="s">
        <v>133</v>
      </c>
      <c r="B22">
        <v>105</v>
      </c>
      <c r="C22">
        <v>105</v>
      </c>
      <c r="D22" s="2">
        <v>44906</v>
      </c>
      <c r="E22">
        <v>22</v>
      </c>
      <c r="F22">
        <v>19</v>
      </c>
      <c r="G22" t="s">
        <v>1311</v>
      </c>
      <c r="H22" t="s">
        <v>1314</v>
      </c>
    </row>
    <row r="23" spans="1:8">
      <c r="A23" t="s">
        <v>101</v>
      </c>
      <c r="B23">
        <v>32</v>
      </c>
      <c r="C23">
        <v>32</v>
      </c>
      <c r="E23">
        <v>31</v>
      </c>
      <c r="F23">
        <v>5</v>
      </c>
      <c r="G23" t="s">
        <v>1311</v>
      </c>
      <c r="H23" t="s">
        <v>1319</v>
      </c>
    </row>
    <row r="24" spans="1:8">
      <c r="A24" t="s">
        <v>299</v>
      </c>
      <c r="B24">
        <v>69</v>
      </c>
      <c r="C24">
        <v>32</v>
      </c>
      <c r="D24" s="2">
        <v>44903</v>
      </c>
      <c r="E24">
        <v>39</v>
      </c>
      <c r="F24">
        <v>18</v>
      </c>
      <c r="H24" t="s">
        <v>1314</v>
      </c>
    </row>
    <row r="25" spans="1:8">
      <c r="A25" t="s">
        <v>119</v>
      </c>
      <c r="B25">
        <v>34</v>
      </c>
      <c r="C25">
        <v>34</v>
      </c>
      <c r="D25" s="2">
        <v>44911</v>
      </c>
      <c r="E25">
        <v>27</v>
      </c>
      <c r="F25">
        <v>11</v>
      </c>
      <c r="G25" t="s">
        <v>1311</v>
      </c>
    </row>
    <row r="26" spans="1:8">
      <c r="A26" t="s">
        <v>242</v>
      </c>
      <c r="B26">
        <v>86</v>
      </c>
      <c r="C26">
        <v>86</v>
      </c>
      <c r="D26" s="2">
        <v>44920</v>
      </c>
      <c r="E26">
        <v>21</v>
      </c>
      <c r="F26">
        <v>5</v>
      </c>
      <c r="H26" t="s">
        <v>1314</v>
      </c>
    </row>
    <row r="27" spans="1:8">
      <c r="A27" t="s">
        <v>96</v>
      </c>
      <c r="B27">
        <v>75</v>
      </c>
      <c r="C27">
        <v>75</v>
      </c>
      <c r="E27">
        <v>38</v>
      </c>
      <c r="F27">
        <v>14</v>
      </c>
      <c r="G27" t="s">
        <v>1316</v>
      </c>
      <c r="H27" t="s">
        <v>1322</v>
      </c>
    </row>
    <row r="28" spans="1:8">
      <c r="A28" t="s">
        <v>64</v>
      </c>
      <c r="B28">
        <v>54</v>
      </c>
      <c r="C28">
        <v>36</v>
      </c>
      <c r="E28">
        <v>7</v>
      </c>
      <c r="F28">
        <v>15</v>
      </c>
      <c r="G28" t="s">
        <v>1316</v>
      </c>
      <c r="H28" t="s">
        <v>1319</v>
      </c>
    </row>
    <row r="29" spans="1:8">
      <c r="A29" t="s">
        <v>70</v>
      </c>
      <c r="B29">
        <v>137</v>
      </c>
      <c r="C29">
        <v>64</v>
      </c>
      <c r="D29" s="2">
        <v>44891</v>
      </c>
      <c r="E29">
        <v>18</v>
      </c>
      <c r="F29">
        <v>17</v>
      </c>
      <c r="H29" t="s">
        <v>1323</v>
      </c>
    </row>
    <row r="30" spans="1:8">
      <c r="A30" t="s">
        <v>144</v>
      </c>
      <c r="B30">
        <v>30</v>
      </c>
      <c r="C30">
        <v>30</v>
      </c>
      <c r="D30" s="2">
        <v>44839</v>
      </c>
      <c r="E30">
        <v>29</v>
      </c>
      <c r="F30">
        <v>18</v>
      </c>
      <c r="H30" t="s">
        <v>1324</v>
      </c>
    </row>
    <row r="31" spans="1:8">
      <c r="A31" t="s">
        <v>184</v>
      </c>
      <c r="B31">
        <v>81</v>
      </c>
      <c r="C31">
        <v>81</v>
      </c>
      <c r="D31" s="2">
        <v>44884</v>
      </c>
      <c r="E31">
        <v>5</v>
      </c>
      <c r="F31">
        <v>19</v>
      </c>
      <c r="H31" t="s">
        <v>1318</v>
      </c>
    </row>
    <row r="32" spans="1:8">
      <c r="A32" t="s">
        <v>153</v>
      </c>
      <c r="B32">
        <v>118</v>
      </c>
      <c r="C32">
        <v>118</v>
      </c>
      <c r="D32" s="2">
        <v>44893</v>
      </c>
      <c r="H32" t="s">
        <v>1325</v>
      </c>
    </row>
    <row r="33" spans="1:8">
      <c r="A33" t="s">
        <v>82</v>
      </c>
      <c r="B33">
        <v>55</v>
      </c>
      <c r="C33">
        <v>43</v>
      </c>
      <c r="D33" s="2">
        <v>44874</v>
      </c>
      <c r="E33">
        <v>29</v>
      </c>
      <c r="F33">
        <v>18</v>
      </c>
      <c r="G33" t="s">
        <v>1311</v>
      </c>
      <c r="H33" t="s">
        <v>1312</v>
      </c>
    </row>
    <row r="34" spans="1:8">
      <c r="A34" t="s">
        <v>18</v>
      </c>
      <c r="B34">
        <v>102</v>
      </c>
      <c r="C34">
        <v>102</v>
      </c>
      <c r="D34" s="2">
        <v>44845</v>
      </c>
      <c r="F34">
        <v>11</v>
      </c>
      <c r="G34" t="s">
        <v>1316</v>
      </c>
      <c r="H34" t="s">
        <v>1326</v>
      </c>
    </row>
    <row r="35" spans="1:8">
      <c r="A35" t="s">
        <v>122</v>
      </c>
      <c r="B35">
        <v>74</v>
      </c>
      <c r="C35">
        <v>74</v>
      </c>
      <c r="D35" s="2">
        <v>44901</v>
      </c>
      <c r="E35">
        <v>13</v>
      </c>
      <c r="F35">
        <v>19</v>
      </c>
      <c r="G35" t="s">
        <v>1316</v>
      </c>
      <c r="H35" t="s">
        <v>1312</v>
      </c>
    </row>
    <row r="36" spans="1:8">
      <c r="A36" t="s">
        <v>55</v>
      </c>
      <c r="B36">
        <v>147</v>
      </c>
      <c r="C36">
        <v>147</v>
      </c>
      <c r="D36" s="2">
        <v>44922</v>
      </c>
      <c r="E36">
        <v>22</v>
      </c>
      <c r="F36">
        <v>15</v>
      </c>
      <c r="G36" t="s">
        <v>1316</v>
      </c>
      <c r="H36" t="s">
        <v>1313</v>
      </c>
    </row>
    <row r="37" spans="1:8">
      <c r="A37" t="s">
        <v>108</v>
      </c>
      <c r="B37">
        <v>72</v>
      </c>
      <c r="C37">
        <v>72</v>
      </c>
      <c r="D37" s="2">
        <v>44889</v>
      </c>
      <c r="E37">
        <v>16</v>
      </c>
      <c r="F37">
        <v>12</v>
      </c>
      <c r="G37" t="s">
        <v>1311</v>
      </c>
      <c r="H37" t="s">
        <v>1315</v>
      </c>
    </row>
    <row r="38" spans="1:8">
      <c r="A38" t="s">
        <v>162</v>
      </c>
      <c r="B38">
        <v>126</v>
      </c>
      <c r="C38">
        <v>126</v>
      </c>
      <c r="D38" s="2">
        <v>44923</v>
      </c>
      <c r="E38">
        <v>28</v>
      </c>
      <c r="F38">
        <v>13</v>
      </c>
      <c r="G38" t="s">
        <v>1316</v>
      </c>
      <c r="H38" t="s">
        <v>1315</v>
      </c>
    </row>
    <row r="39" spans="1:8">
      <c r="A39" t="s">
        <v>147</v>
      </c>
      <c r="B39">
        <v>32</v>
      </c>
      <c r="C39">
        <v>32</v>
      </c>
      <c r="D39" s="2">
        <v>44922</v>
      </c>
      <c r="E39">
        <v>3</v>
      </c>
      <c r="F39">
        <v>10</v>
      </c>
      <c r="G39" t="s">
        <v>1311</v>
      </c>
    </row>
    <row r="40" spans="1:8">
      <c r="A40" t="s">
        <v>90</v>
      </c>
      <c r="B40">
        <v>103</v>
      </c>
      <c r="C40">
        <v>103</v>
      </c>
      <c r="E40">
        <v>10</v>
      </c>
      <c r="F40">
        <v>13</v>
      </c>
      <c r="G40" t="s">
        <v>1311</v>
      </c>
      <c r="H40" t="s">
        <v>1319</v>
      </c>
    </row>
    <row r="41" spans="1:8">
      <c r="A41" t="s">
        <v>23</v>
      </c>
      <c r="B41">
        <v>37</v>
      </c>
      <c r="C41">
        <v>37</v>
      </c>
      <c r="D41" s="2">
        <v>44862</v>
      </c>
      <c r="E41">
        <v>30</v>
      </c>
      <c r="F41">
        <v>20</v>
      </c>
      <c r="H41" t="s">
        <v>1323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2014-FC82-499C-8AC5-36A943E658DB}">
  <dimension ref="A1:F20"/>
  <sheetViews>
    <sheetView topLeftCell="B11" workbookViewId="0">
      <selection activeCell="G17" sqref="G17"/>
    </sheetView>
  </sheetViews>
  <sheetFormatPr defaultRowHeight="14.25"/>
  <cols>
    <col min="2" max="2" width="10.3984375" customWidth="1"/>
    <col min="3" max="3" width="18.53125" customWidth="1"/>
    <col min="4" max="4" width="53.46484375" customWidth="1"/>
    <col min="5" max="5" width="32.9296875" customWidth="1"/>
    <col min="6" max="6" width="43.86328125" customWidth="1"/>
  </cols>
  <sheetData>
    <row r="1" spans="1:6">
      <c r="A1" s="25" t="s">
        <v>1327</v>
      </c>
      <c r="B1" s="26" t="s">
        <v>1328</v>
      </c>
      <c r="C1" s="26" t="s">
        <v>1329</v>
      </c>
      <c r="D1" s="26" t="s">
        <v>1330</v>
      </c>
      <c r="E1" s="27" t="s">
        <v>1331</v>
      </c>
    </row>
    <row r="2" spans="1:6" ht="25.5">
      <c r="A2" s="21">
        <v>1</v>
      </c>
      <c r="B2" s="8">
        <v>2</v>
      </c>
      <c r="C2" s="8" t="s">
        <v>1332</v>
      </c>
      <c r="D2" s="8" t="s">
        <v>1333</v>
      </c>
      <c r="E2" s="23" t="s">
        <v>1334</v>
      </c>
    </row>
    <row r="3" spans="1:6" ht="38.25">
      <c r="A3" s="22">
        <v>2</v>
      </c>
      <c r="B3" s="9">
        <v>2</v>
      </c>
      <c r="C3" s="9" t="s">
        <v>1335</v>
      </c>
      <c r="D3" s="9" t="s">
        <v>1336</v>
      </c>
      <c r="E3" s="24" t="s">
        <v>1337</v>
      </c>
      <c r="F3" s="6"/>
    </row>
    <row r="4" spans="1:6" ht="25.5">
      <c r="A4" s="21">
        <v>3</v>
      </c>
      <c r="B4" s="8">
        <v>2</v>
      </c>
      <c r="C4" s="8" t="s">
        <v>1338</v>
      </c>
      <c r="D4" s="8" t="s">
        <v>1339</v>
      </c>
      <c r="E4" s="23" t="s">
        <v>1340</v>
      </c>
      <c r="F4" s="7"/>
    </row>
    <row r="5" spans="1:6">
      <c r="A5" s="22">
        <v>4</v>
      </c>
      <c r="B5" s="9">
        <v>2</v>
      </c>
      <c r="C5" s="44" t="s">
        <v>1408</v>
      </c>
      <c r="D5" s="9"/>
      <c r="E5" t="s">
        <v>1409</v>
      </c>
      <c r="F5" s="7"/>
    </row>
    <row r="6" spans="1:6" ht="38.25">
      <c r="A6" s="21">
        <v>5</v>
      </c>
      <c r="B6" s="8">
        <v>2</v>
      </c>
      <c r="C6" s="8" t="s">
        <v>1341</v>
      </c>
      <c r="D6" s="8" t="s">
        <v>1342</v>
      </c>
      <c r="E6" s="23" t="s">
        <v>1343</v>
      </c>
      <c r="F6" s="7"/>
    </row>
    <row r="7" spans="1:6" ht="25.5">
      <c r="A7" s="22">
        <v>6</v>
      </c>
      <c r="B7" s="9">
        <v>2</v>
      </c>
      <c r="C7" s="9" t="s">
        <v>1344</v>
      </c>
      <c r="D7" s="9" t="s">
        <v>1345</v>
      </c>
      <c r="E7" s="24" t="s">
        <v>1340</v>
      </c>
      <c r="F7" s="7"/>
    </row>
    <row r="8" spans="1:6" ht="51">
      <c r="A8" s="21">
        <v>7</v>
      </c>
      <c r="B8" s="8">
        <v>2</v>
      </c>
      <c r="C8" s="8" t="s">
        <v>1346</v>
      </c>
      <c r="D8" s="8" t="s">
        <v>1347</v>
      </c>
      <c r="E8" s="23" t="s">
        <v>1348</v>
      </c>
      <c r="F8" s="7"/>
    </row>
    <row r="9" spans="1:6" ht="38.25">
      <c r="A9" s="22">
        <v>8</v>
      </c>
      <c r="B9" s="9">
        <v>2</v>
      </c>
      <c r="C9" s="9" t="s">
        <v>1349</v>
      </c>
      <c r="D9" s="9" t="s">
        <v>1350</v>
      </c>
      <c r="E9" s="24" t="s">
        <v>1351</v>
      </c>
      <c r="F9" s="7"/>
    </row>
    <row r="10" spans="1:6" ht="51">
      <c r="A10" s="21">
        <v>9</v>
      </c>
      <c r="B10" s="8">
        <v>2</v>
      </c>
      <c r="C10" s="8" t="s">
        <v>1352</v>
      </c>
      <c r="D10" s="8" t="s">
        <v>1353</v>
      </c>
      <c r="E10" s="23" t="s">
        <v>1354</v>
      </c>
    </row>
    <row r="11" spans="1:6" ht="38.25">
      <c r="A11" s="22">
        <v>10</v>
      </c>
      <c r="B11" s="9">
        <v>2</v>
      </c>
      <c r="C11" s="9" t="s">
        <v>1355</v>
      </c>
      <c r="D11" s="9" t="s">
        <v>1356</v>
      </c>
      <c r="E11" s="24" t="s">
        <v>1357</v>
      </c>
    </row>
    <row r="12" spans="1:6" ht="38.25">
      <c r="A12" s="21">
        <v>11</v>
      </c>
      <c r="B12" s="8">
        <v>2</v>
      </c>
      <c r="C12" s="8" t="s">
        <v>1358</v>
      </c>
      <c r="D12" s="8" t="s">
        <v>1359</v>
      </c>
      <c r="E12" s="23" t="s">
        <v>1360</v>
      </c>
    </row>
    <row r="13" spans="1:6" ht="51">
      <c r="A13" s="22">
        <v>12</v>
      </c>
      <c r="B13" s="9">
        <v>2</v>
      </c>
      <c r="C13" s="9" t="s">
        <v>1361</v>
      </c>
      <c r="D13" s="9" t="s">
        <v>1362</v>
      </c>
      <c r="E13" s="24" t="s">
        <v>1363</v>
      </c>
    </row>
    <row r="14" spans="1:6" ht="76.5">
      <c r="A14" s="21">
        <v>13</v>
      </c>
      <c r="B14" s="8">
        <v>2</v>
      </c>
      <c r="C14" s="8" t="s">
        <v>1364</v>
      </c>
      <c r="D14" s="8" t="s">
        <v>1365</v>
      </c>
      <c r="E14" s="23" t="s">
        <v>1366</v>
      </c>
    </row>
    <row r="15" spans="1:6" ht="51">
      <c r="A15" s="22">
        <v>14</v>
      </c>
      <c r="B15" s="9">
        <v>2</v>
      </c>
      <c r="C15" s="9" t="s">
        <v>1367</v>
      </c>
      <c r="D15" s="9" t="s">
        <v>1368</v>
      </c>
      <c r="E15" s="24" t="s">
        <v>1369</v>
      </c>
    </row>
    <row r="16" spans="1:6" ht="63.75">
      <c r="A16" s="21">
        <v>15</v>
      </c>
      <c r="B16" s="8">
        <v>2</v>
      </c>
      <c r="C16" s="8" t="s">
        <v>1370</v>
      </c>
      <c r="D16" s="8" t="s">
        <v>1371</v>
      </c>
      <c r="E16" s="23" t="s">
        <v>1372</v>
      </c>
    </row>
    <row r="17" spans="1:5" ht="63.75">
      <c r="A17" s="22">
        <v>16</v>
      </c>
      <c r="B17" s="9">
        <v>2</v>
      </c>
      <c r="C17" s="9" t="s">
        <v>1373</v>
      </c>
      <c r="D17" s="9" t="s">
        <v>1374</v>
      </c>
      <c r="E17" s="24" t="s">
        <v>1375</v>
      </c>
    </row>
    <row r="18" spans="1:5" ht="51">
      <c r="A18" s="28">
        <v>17</v>
      </c>
      <c r="B18" s="29">
        <v>2</v>
      </c>
      <c r="C18" s="29" t="s">
        <v>1376</v>
      </c>
      <c r="D18" s="29" t="s">
        <v>1377</v>
      </c>
      <c r="E18" s="30" t="s">
        <v>1378</v>
      </c>
    </row>
    <row r="19" spans="1:5" ht="51">
      <c r="A19" s="31"/>
      <c r="B19" s="32"/>
      <c r="C19" s="32" t="s">
        <v>1397</v>
      </c>
      <c r="D19" s="32"/>
      <c r="E19" s="33" t="s">
        <v>1398</v>
      </c>
    </row>
    <row r="20" spans="1:5" ht="51">
      <c r="A20" s="31"/>
      <c r="B20" s="32">
        <v>4</v>
      </c>
      <c r="C20" s="32"/>
      <c r="D20" s="32" t="s">
        <v>1469</v>
      </c>
      <c r="E20" s="33"/>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E3D8-24C3-48A8-B922-55E959176545}">
  <dimension ref="B5:F22"/>
  <sheetViews>
    <sheetView showGridLines="0" topLeftCell="A11" workbookViewId="0">
      <selection activeCell="E20" sqref="E20"/>
    </sheetView>
  </sheetViews>
  <sheetFormatPr defaultRowHeight="14.25"/>
  <cols>
    <col min="2" max="2" width="31.19921875" customWidth="1"/>
    <col min="3" max="3" width="41.86328125" customWidth="1"/>
    <col min="4" max="4" width="28.265625" customWidth="1"/>
    <col min="5" max="5" width="30.265625" customWidth="1"/>
    <col min="6" max="6" width="33.86328125" customWidth="1"/>
  </cols>
  <sheetData>
    <row r="5" spans="2:6" ht="99.75">
      <c r="B5" s="46" t="s">
        <v>1413</v>
      </c>
      <c r="C5" s="45" t="s">
        <v>1412</v>
      </c>
      <c r="D5" s="47" t="s">
        <v>1414</v>
      </c>
    </row>
    <row r="6" spans="2:6">
      <c r="B6" s="46"/>
      <c r="C6" s="45"/>
      <c r="D6" s="47"/>
    </row>
    <row r="7" spans="2:6" ht="71.25">
      <c r="B7" s="46" t="s">
        <v>1467</v>
      </c>
      <c r="C7" s="45" t="s">
        <v>1468</v>
      </c>
      <c r="D7" s="47"/>
    </row>
    <row r="11" spans="2:6" ht="42.75">
      <c r="B11" t="s">
        <v>1478</v>
      </c>
      <c r="C11" s="6" t="s">
        <v>1327</v>
      </c>
      <c r="D11" s="6" t="s">
        <v>1479</v>
      </c>
      <c r="E11" s="6" t="s">
        <v>1480</v>
      </c>
      <c r="F11" s="6" t="s">
        <v>1481</v>
      </c>
    </row>
    <row r="12" spans="2:6" ht="114">
      <c r="C12" s="50">
        <v>1</v>
      </c>
      <c r="D12" s="7" t="s">
        <v>1482</v>
      </c>
      <c r="E12" s="7" t="s">
        <v>1483</v>
      </c>
      <c r="F12" s="7" t="s">
        <v>1484</v>
      </c>
    </row>
    <row r="13" spans="2:6" ht="99.75">
      <c r="C13" s="50">
        <v>2</v>
      </c>
      <c r="D13" s="7" t="s">
        <v>1485</v>
      </c>
      <c r="E13" s="7" t="s">
        <v>1486</v>
      </c>
      <c r="F13" s="7" t="s">
        <v>1487</v>
      </c>
    </row>
    <row r="14" spans="2:6" ht="114">
      <c r="C14" s="50">
        <v>3</v>
      </c>
      <c r="D14" s="7" t="s">
        <v>1488</v>
      </c>
      <c r="E14" s="7" t="s">
        <v>1489</v>
      </c>
      <c r="F14" s="7" t="s">
        <v>1490</v>
      </c>
    </row>
    <row r="15" spans="2:6" ht="28.5">
      <c r="C15" s="50">
        <v>4</v>
      </c>
      <c r="D15" s="7" t="s">
        <v>1491</v>
      </c>
      <c r="E15" s="7" t="s">
        <v>1492</v>
      </c>
      <c r="F15" s="7" t="s">
        <v>1493</v>
      </c>
    </row>
    <row r="16" spans="2:6">
      <c r="C16" t="s">
        <v>1521</v>
      </c>
    </row>
    <row r="17" spans="2:3">
      <c r="B17" t="s">
        <v>1520</v>
      </c>
    </row>
    <row r="18" spans="2:3">
      <c r="C18" t="s">
        <v>1522</v>
      </c>
    </row>
    <row r="20" spans="2:3">
      <c r="C20" t="s">
        <v>1523</v>
      </c>
    </row>
    <row r="22" spans="2:3">
      <c r="C22" t="s">
        <v>1524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2EB7-8F8F-4BC7-BC82-BEA9C11445E8}">
  <dimension ref="C2:D33"/>
  <sheetViews>
    <sheetView topLeftCell="A3" workbookViewId="0">
      <selection activeCell="E24" sqref="E24"/>
    </sheetView>
  </sheetViews>
  <sheetFormatPr defaultRowHeight="14.25"/>
  <cols>
    <col min="3" max="3" width="37.86328125" customWidth="1"/>
    <col min="4" max="4" width="63.73046875" customWidth="1"/>
  </cols>
  <sheetData>
    <row r="2" spans="3:4">
      <c r="C2" s="17"/>
      <c r="D2" s="17"/>
    </row>
    <row r="3" spans="3:4">
      <c r="C3" t="s">
        <v>1415</v>
      </c>
      <c r="D3" t="s">
        <v>1416</v>
      </c>
    </row>
    <row r="4" spans="3:4">
      <c r="C4" t="s">
        <v>1417</v>
      </c>
      <c r="D4" t="s">
        <v>1418</v>
      </c>
    </row>
    <row r="5" spans="3:4">
      <c r="C5" t="s">
        <v>1419</v>
      </c>
      <c r="D5" t="s">
        <v>1420</v>
      </c>
    </row>
    <row r="6" spans="3:4">
      <c r="C6" t="s">
        <v>1421</v>
      </c>
      <c r="D6" t="s">
        <v>1422</v>
      </c>
    </row>
    <row r="7" spans="3:4">
      <c r="C7" t="s">
        <v>1423</v>
      </c>
      <c r="D7" t="s">
        <v>1424</v>
      </c>
    </row>
    <row r="8" spans="3:4">
      <c r="C8" t="s">
        <v>1425</v>
      </c>
      <c r="D8" t="s">
        <v>1426</v>
      </c>
    </row>
    <row r="9" spans="3:4">
      <c r="C9" t="s">
        <v>1427</v>
      </c>
      <c r="D9" t="s">
        <v>1428</v>
      </c>
    </row>
    <row r="10" spans="3:4">
      <c r="C10" t="s">
        <v>1429</v>
      </c>
      <c r="D10" t="s">
        <v>1430</v>
      </c>
    </row>
    <row r="11" spans="3:4">
      <c r="C11" t="s">
        <v>1431</v>
      </c>
      <c r="D11" t="s">
        <v>1432</v>
      </c>
    </row>
    <row r="12" spans="3:4">
      <c r="C12" t="s">
        <v>1433</v>
      </c>
      <c r="D12" t="s">
        <v>1434</v>
      </c>
    </row>
    <row r="13" spans="3:4">
      <c r="C13" t="s">
        <v>1435</v>
      </c>
      <c r="D13" t="s">
        <v>1436</v>
      </c>
    </row>
    <row r="14" spans="3:4">
      <c r="C14" t="s">
        <v>1437</v>
      </c>
      <c r="D14" t="s">
        <v>1438</v>
      </c>
    </row>
    <row r="15" spans="3:4">
      <c r="C15" t="s">
        <v>1439</v>
      </c>
      <c r="D15" t="s">
        <v>1440</v>
      </c>
    </row>
    <row r="16" spans="3:4">
      <c r="C16" t="s">
        <v>1441</v>
      </c>
      <c r="D16" t="s">
        <v>1442</v>
      </c>
    </row>
    <row r="17" spans="3:4">
      <c r="C17" t="s">
        <v>1443</v>
      </c>
      <c r="D17" t="s">
        <v>1444</v>
      </c>
    </row>
    <row r="18" spans="3:4">
      <c r="C18" t="s">
        <v>1445</v>
      </c>
      <c r="D18" t="s">
        <v>1446</v>
      </c>
    </row>
    <row r="19" spans="3:4">
      <c r="C19" t="s">
        <v>1447</v>
      </c>
      <c r="D19" t="s">
        <v>1448</v>
      </c>
    </row>
    <row r="20" spans="3:4">
      <c r="C20" t="s">
        <v>1449</v>
      </c>
      <c r="D20" t="s">
        <v>1450</v>
      </c>
    </row>
    <row r="21" spans="3:4">
      <c r="C21" t="s">
        <v>1451</v>
      </c>
      <c r="D21" t="s">
        <v>1452</v>
      </c>
    </row>
    <row r="22" spans="3:4">
      <c r="C22" t="s">
        <v>1453</v>
      </c>
      <c r="D22" t="s">
        <v>1454</v>
      </c>
    </row>
    <row r="23" spans="3:4">
      <c r="C23" t="s">
        <v>1455</v>
      </c>
      <c r="D23" t="s">
        <v>1456</v>
      </c>
    </row>
    <row r="24" spans="3:4">
      <c r="C24" t="s">
        <v>1457</v>
      </c>
      <c r="D24" t="s">
        <v>1458</v>
      </c>
    </row>
    <row r="25" spans="3:4">
      <c r="C25" t="s">
        <v>1459</v>
      </c>
      <c r="D25" t="s">
        <v>1460</v>
      </c>
    </row>
    <row r="26" spans="3:4">
      <c r="C26" t="s">
        <v>1461</v>
      </c>
      <c r="D26" t="s">
        <v>1462</v>
      </c>
    </row>
    <row r="27" spans="3:4">
      <c r="C27" t="s">
        <v>1463</v>
      </c>
      <c r="D27" t="s">
        <v>1464</v>
      </c>
    </row>
    <row r="28" spans="3:4" ht="28.5">
      <c r="C28" s="51" t="s">
        <v>1494</v>
      </c>
      <c r="D28" s="7" t="s">
        <v>1495</v>
      </c>
    </row>
    <row r="29" spans="3:4" ht="28.5">
      <c r="C29" s="51" t="s">
        <v>1496</v>
      </c>
      <c r="D29" s="7" t="s">
        <v>1497</v>
      </c>
    </row>
    <row r="30" spans="3:4" ht="28.5">
      <c r="C30" s="51" t="s">
        <v>1498</v>
      </c>
      <c r="D30" s="7" t="s">
        <v>1499</v>
      </c>
    </row>
    <row r="31" spans="3:4" ht="28.5">
      <c r="C31" s="51" t="s">
        <v>1500</v>
      </c>
      <c r="D31" s="7" t="s">
        <v>1501</v>
      </c>
    </row>
    <row r="32" spans="3:4" ht="28.5">
      <c r="C32" s="51" t="s">
        <v>1502</v>
      </c>
      <c r="D32" s="7" t="s">
        <v>1503</v>
      </c>
    </row>
    <row r="33" spans="3:4" ht="28.5">
      <c r="C33" s="51" t="s">
        <v>1504</v>
      </c>
      <c r="D33" s="7" t="s">
        <v>1505</v>
      </c>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 summary</vt:lpstr>
      <vt:lpstr>Sales by Categories</vt:lpstr>
      <vt:lpstr>Sales by Channel</vt:lpstr>
      <vt:lpstr>Top 10 SKUs by Revenue</vt:lpstr>
      <vt:lpstr>Demand Analysis</vt:lpstr>
      <vt:lpstr>Inventory Analysis</vt:lpstr>
      <vt:lpstr>Financial Analysis</vt:lpstr>
      <vt:lpstr>Advanced Analysis</vt:lpstr>
      <vt:lpstr>Dashboard - Operations</vt:lpstr>
      <vt:lpstr>Dashboard - Performance</vt:lpstr>
      <vt:lpstr>CLEAN_Sales</vt:lpstr>
      <vt:lpstr> CLEAN_Products</vt:lpstr>
      <vt:lpstr> CLEAN_Inventory</vt:lpstr>
      <vt:lpstr>Notes</vt:lpstr>
      <vt:lpstr>Findings</vt:lpstr>
      <vt:lpstr> Excel Skills Practiced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Hamed Tamjid</cp:lastModifiedBy>
  <cp:revision>0</cp:revision>
  <dcterms:created xsi:type="dcterms:W3CDTF">2026-03-06T04:46:29Z</dcterms:created>
  <dcterms:modified xsi:type="dcterms:W3CDTF">2026-03-18T20:16:26Z</dcterms:modified>
  <dc:language>en-US</dc:language>
</cp:coreProperties>
</file>